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masq\Desktop\PhD\"/>
    </mc:Choice>
  </mc:AlternateContent>
  <bookViews>
    <workbookView xWindow="0" yWindow="660" windowWidth="29400" windowHeight="16900" tabRatio="599" activeTab="2"/>
  </bookViews>
  <sheets>
    <sheet name="Fiche identité" sheetId="11" state="hidden" r:id="rId1"/>
    <sheet name="Prescreening" sheetId="17" state="hidden" r:id="rId2"/>
    <sheet name="Alex" sheetId="30" r:id="rId3"/>
    <sheet name="Récap" sheetId="20" r:id="rId4"/>
    <sheet name="cohorte KRAS" sheetId="25" r:id="rId5"/>
    <sheet name="Feuil3" sheetId="28" r:id="rId6"/>
    <sheet name="Feuil1" sheetId="26" r:id="rId7"/>
    <sheet name="mécanismes de résistances" sheetId="23" r:id="rId8"/>
    <sheet name="méca R-2" sheetId="24" r:id="rId9"/>
    <sheet name="stat" sheetId="27" r:id="rId10"/>
    <sheet name="Planning Suivis" sheetId="5" state="hidden" r:id="rId11"/>
    <sheet name="SAE" sheetId="4" state="hidden" r:id="rId12"/>
    <sheet name="Monitoring - NA" sheetId="19" state="hidden" r:id="rId13"/>
  </sheets>
  <definedNames>
    <definedName name="_xlnm._FilterDatabase" localSheetId="8" hidden="1">'méca R-2'!$A$1:$N$32</definedName>
    <definedName name="_xlnm._FilterDatabase" localSheetId="3" hidden="1">Récap!$A$1:$AW$56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6" i="30" l="1"/>
  <c r="BD26" i="30"/>
  <c r="BG25" i="30"/>
  <c r="BD25" i="30"/>
  <c r="BG24" i="30"/>
  <c r="BD24" i="30"/>
  <c r="BG23" i="30"/>
  <c r="BD23" i="30"/>
  <c r="BG22" i="30"/>
  <c r="BD22" i="30"/>
  <c r="BG21" i="30"/>
  <c r="BD21" i="30"/>
  <c r="BG20" i="30"/>
  <c r="BD20" i="30"/>
  <c r="BG19" i="30"/>
  <c r="BD19" i="30"/>
  <c r="BG18" i="30"/>
  <c r="BD18" i="30"/>
  <c r="BG17" i="30"/>
  <c r="BD17" i="30"/>
  <c r="BG16" i="30"/>
  <c r="BD16" i="30"/>
  <c r="BG15" i="30"/>
  <c r="BD15" i="30"/>
  <c r="BG14" i="30"/>
  <c r="BD14" i="30"/>
  <c r="BG13" i="30"/>
  <c r="BD13" i="30"/>
  <c r="BG12" i="30"/>
  <c r="BD12" i="30"/>
  <c r="BG11" i="30"/>
  <c r="BD11" i="30"/>
  <c r="BG10" i="30"/>
  <c r="BD10" i="30"/>
  <c r="BG9" i="30"/>
  <c r="BD9" i="30"/>
  <c r="BG8" i="30"/>
  <c r="BD8" i="30"/>
  <c r="BG7" i="30"/>
  <c r="BD7" i="30"/>
  <c r="BG6" i="30"/>
  <c r="BD6" i="30"/>
  <c r="BG5" i="30"/>
  <c r="BD5" i="30"/>
  <c r="BG4" i="30"/>
  <c r="BD4" i="30"/>
  <c r="BG3" i="30"/>
  <c r="BD3" i="30"/>
  <c r="R32" i="25"/>
  <c r="BD9" i="25"/>
  <c r="BD4" i="25"/>
  <c r="BD5" i="25"/>
  <c r="BD6" i="25"/>
  <c r="BD7" i="25"/>
  <c r="BD8" i="25"/>
  <c r="BD10" i="25"/>
  <c r="BD11" i="25"/>
  <c r="BD12" i="25"/>
  <c r="BD13" i="25"/>
  <c r="BD14" i="25"/>
  <c r="BD15" i="25"/>
  <c r="BD16" i="25"/>
  <c r="BD17" i="25"/>
  <c r="BD18" i="25"/>
  <c r="BD19" i="25"/>
  <c r="BD20" i="25"/>
  <c r="BD21" i="25"/>
  <c r="BD22" i="25"/>
  <c r="BD23" i="25"/>
  <c r="BD24" i="25"/>
  <c r="BD25" i="25"/>
  <c r="BD26" i="25"/>
  <c r="BD3" i="25"/>
  <c r="BA3" i="25"/>
  <c r="N21" i="27"/>
  <c r="J13" i="27"/>
  <c r="BA26" i="25"/>
  <c r="BA25" i="25"/>
  <c r="BA22" i="25"/>
  <c r="BA21" i="25"/>
  <c r="BA19" i="25"/>
  <c r="BA10" i="25"/>
  <c r="BA9" i="25"/>
  <c r="BA24" i="25"/>
  <c r="BA23" i="25"/>
  <c r="BA18" i="25"/>
  <c r="BA17" i="25"/>
  <c r="BA15" i="25"/>
  <c r="BA13" i="25"/>
  <c r="BA12" i="25"/>
  <c r="BA11" i="25"/>
  <c r="BA7" i="25"/>
  <c r="BA6" i="25"/>
  <c r="BA5" i="25"/>
  <c r="BA8" i="25"/>
  <c r="BA14" i="25"/>
  <c r="BA16" i="25"/>
  <c r="BA20" i="25"/>
  <c r="BA4" i="25"/>
  <c r="S28" i="25"/>
  <c r="A3" i="19" l="1"/>
  <c r="J11" i="4" l="1"/>
  <c r="J12" i="4"/>
  <c r="J13" i="4"/>
  <c r="J14" i="4"/>
  <c r="J10" i="4"/>
  <c r="M18" i="5"/>
  <c r="L18" i="5"/>
  <c r="M15" i="5"/>
  <c r="L15" i="5"/>
  <c r="A3" i="4" l="1"/>
  <c r="A3" i="5" l="1"/>
</calcChain>
</file>

<file path=xl/comments1.xml><?xml version="1.0" encoding="utf-8"?>
<comments xmlns="http://schemas.openxmlformats.org/spreadsheetml/2006/main">
  <authors>
    <author>Urban Romane</author>
  </authors>
  <commentList>
    <comment ref="AT5" authorId="0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plmt T4 non faits</t>
        </r>
      </text>
    </comment>
    <comment ref="AF12" authorId="0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Refus du prélèvement le 05/09/2024, elle revient pour prélèvement le 17/10/24</t>
        </r>
      </text>
    </comment>
    <comment ref="AF15" authorId="0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hors fenêtres protocolaires</t>
        </r>
      </text>
    </comment>
    <comment ref="AD16" authorId="0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plvmt hors fenêtres protocolaires</t>
        </r>
      </text>
    </comment>
    <comment ref="AG16" authorId="0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plmt le 04/12/24</t>
        </r>
      </text>
    </comment>
    <comment ref="AI16" authorId="0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plvmt T4 non faits</t>
        </r>
      </text>
    </comment>
    <comment ref="AJ24" authorId="0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arret de l'ada août 2025/ progression Janvier 2026/ Plvmt T4 10/03/2026 </t>
        </r>
      </text>
    </comment>
  </commentList>
</comments>
</file>

<file path=xl/comments2.xml><?xml version="1.0" encoding="utf-8"?>
<comments xmlns="http://schemas.openxmlformats.org/spreadsheetml/2006/main">
  <authors>
    <author>Muller Natty</author>
    <author>Urban Romane</author>
    <author>Thomas Quentin</author>
  </authors>
  <commentList>
    <comment ref="AB11" authorId="0" shapeId="0">
      <text>
        <r>
          <rPr>
            <b/>
            <sz val="9"/>
            <color indexed="81"/>
            <rFont val="Tahoma"/>
            <family val="2"/>
          </rPr>
          <t>Muller Natty:</t>
        </r>
        <r>
          <rPr>
            <sz val="9"/>
            <color indexed="81"/>
            <rFont val="Tahoma"/>
            <family val="2"/>
          </rPr>
          <t xml:space="preserve">
prélèvement non fait</t>
        </r>
      </text>
    </comment>
    <comment ref="AP15" authorId="1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plmt T4 non faits</t>
        </r>
      </text>
    </comment>
    <comment ref="Z25" authorId="0" shapeId="0">
      <text>
        <r>
          <rPr>
            <b/>
            <sz val="9"/>
            <color indexed="81"/>
            <rFont val="Tahoma"/>
            <family val="2"/>
          </rPr>
          <t>Muller Natty:</t>
        </r>
        <r>
          <rPr>
            <sz val="9"/>
            <color indexed="81"/>
            <rFont val="Tahoma"/>
            <family val="2"/>
          </rPr>
          <t xml:space="preserve">
incomplet : seulement 2 tubes STRECK prélevés</t>
        </r>
      </text>
    </comment>
    <comment ref="AB29" authorId="1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Refus du prélèvement le 05/09/2024, elle revient pour prélèvement le 17/10/24</t>
        </r>
      </text>
    </comment>
    <comment ref="Y31" authorId="0" shapeId="0">
      <text>
        <r>
          <rPr>
            <b/>
            <sz val="9"/>
            <color indexed="81"/>
            <rFont val="Tahoma"/>
            <family val="2"/>
          </rPr>
          <t>Muller Natty:</t>
        </r>
        <r>
          <rPr>
            <sz val="9"/>
            <color indexed="81"/>
            <rFont val="Tahoma"/>
            <family val="2"/>
          </rPr>
          <t xml:space="preserve">
tubes STRECK prélevés le 26/06/2024</t>
        </r>
      </text>
    </comment>
    <comment ref="AB35" authorId="1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hors fenêtres protocolaires</t>
        </r>
      </text>
    </comment>
    <comment ref="Z36" authorId="1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plvmt hors fenêtres protocolaires</t>
        </r>
      </text>
    </comment>
    <comment ref="AC36" authorId="1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plmt le 04/12/24</t>
        </r>
      </text>
    </comment>
    <comment ref="AE36" authorId="1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plvmt T4 non faits</t>
        </r>
      </text>
    </comment>
    <comment ref="A44" authorId="2" shapeId="0">
      <text>
        <r>
          <rPr>
            <b/>
            <sz val="9"/>
            <color indexed="81"/>
            <rFont val="Tahoma"/>
            <family val="2"/>
          </rPr>
          <t>Thomas Quentin:</t>
        </r>
        <r>
          <rPr>
            <sz val="9"/>
            <color indexed="81"/>
            <rFont val="Tahoma"/>
            <family val="2"/>
          </rPr>
          <t xml:space="preserve">
fin inclusion pour analyses David
</t>
        </r>
      </text>
    </comment>
    <comment ref="AF47" authorId="1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arret de l'ada août 2025/ progression Janvier 2026/ Plvmt T4 10/03/2026 </t>
        </r>
      </text>
    </comment>
  </commentList>
</comments>
</file>

<file path=xl/comments3.xml><?xml version="1.0" encoding="utf-8"?>
<comments xmlns="http://schemas.openxmlformats.org/spreadsheetml/2006/main">
  <authors>
    <author>Urban Romane</author>
  </authors>
  <commentList>
    <comment ref="AR5" authorId="0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plmt T4 non faits</t>
        </r>
      </text>
    </comment>
    <comment ref="AD12" authorId="0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Refus du prélèvement le 05/09/2024, elle revient pour prélèvement le 17/10/24</t>
        </r>
      </text>
    </comment>
    <comment ref="AD15" authorId="0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hors fenêtres protocolaires</t>
        </r>
      </text>
    </comment>
    <comment ref="AB16" authorId="0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plvmt hors fenêtres protocolaires</t>
        </r>
      </text>
    </comment>
    <comment ref="AE16" authorId="0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plmt le 04/12/24</t>
        </r>
      </text>
    </comment>
    <comment ref="AG16" authorId="0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plvmt T4 non faits</t>
        </r>
      </text>
    </comment>
    <comment ref="AH24" authorId="0" shapeId="0">
      <text>
        <r>
          <rPr>
            <b/>
            <sz val="9"/>
            <color indexed="81"/>
            <rFont val="Tahoma"/>
            <family val="2"/>
          </rPr>
          <t>Urban Romane:</t>
        </r>
        <r>
          <rPr>
            <sz val="9"/>
            <color indexed="81"/>
            <rFont val="Tahoma"/>
            <family val="2"/>
          </rPr>
          <t xml:space="preserve">
arret de l'ada août 2025/ progression Janvier 2026/ Plvmt T4 10/03/2026 </t>
        </r>
      </text>
    </comment>
  </commentList>
</comments>
</file>

<file path=xl/sharedStrings.xml><?xml version="1.0" encoding="utf-8"?>
<sst xmlns="http://schemas.openxmlformats.org/spreadsheetml/2006/main" count="4193" uniqueCount="916">
  <si>
    <t>NOM</t>
  </si>
  <si>
    <t>Prénom</t>
  </si>
  <si>
    <t>Date de déclaration</t>
  </si>
  <si>
    <t>Tableau récapitulatif des Evénements Indésirables Graves (EIGs)</t>
  </si>
  <si>
    <t>Date de début de l'AE</t>
  </si>
  <si>
    <t>Date de résolution</t>
  </si>
  <si>
    <t>Date de prise de connaissance de l'EIG</t>
  </si>
  <si>
    <t>Version</t>
  </si>
  <si>
    <t>Nom Investigateur</t>
  </si>
  <si>
    <t>Signature </t>
  </si>
  <si>
    <t>Vérificateur(s) technique(s)</t>
  </si>
  <si>
    <t>Vérificateur qualité</t>
  </si>
  <si>
    <t>Approbateur(s)</t>
  </si>
  <si>
    <t>Nom(s)</t>
  </si>
  <si>
    <t>Fonction(s)</t>
  </si>
  <si>
    <t>Nom</t>
  </si>
  <si>
    <t>Fonction</t>
  </si>
  <si>
    <t>C. GESTIN-BOYER</t>
  </si>
  <si>
    <t>Responsable CRC</t>
  </si>
  <si>
    <t>P. SAVAJOLS</t>
  </si>
  <si>
    <t>Qualiticien</t>
  </si>
  <si>
    <t>J.P. BLEUSE</t>
  </si>
  <si>
    <t>Directeur DRCI</t>
  </si>
  <si>
    <t>Rédaction </t>
  </si>
  <si>
    <t>Emetteur</t>
  </si>
  <si>
    <t>Rédacteurs</t>
  </si>
  <si>
    <t>Co-auteurs</t>
  </si>
  <si>
    <t>Groupe de travail</t>
  </si>
  <si>
    <t>Noms </t>
  </si>
  <si>
    <t>Fonctions </t>
  </si>
  <si>
    <t>Commentaire de révision</t>
  </si>
  <si>
    <t>001</t>
  </si>
  <si>
    <t>Destinataires</t>
  </si>
  <si>
    <t>Références</t>
  </si>
  <si>
    <t>Néant</t>
  </si>
  <si>
    <t>Documents associés </t>
  </si>
  <si>
    <r>
      <t xml:space="preserve">13/12/2016 : </t>
    </r>
    <r>
      <rPr>
        <sz val="9"/>
        <color theme="1"/>
        <rFont val="Arial"/>
        <family val="2"/>
      </rPr>
      <t>Révision, Fusion des 3 Enregistrements et mise au format ENNOV</t>
    </r>
    <r>
      <rPr>
        <b/>
        <sz val="9"/>
        <color theme="1"/>
        <rFont val="Arial"/>
        <family val="2"/>
      </rPr>
      <t xml:space="preserve">
04/11/2014 : </t>
    </r>
    <r>
      <rPr>
        <sz val="9"/>
        <color theme="1"/>
        <rFont val="Arial"/>
        <family val="2"/>
      </rPr>
      <t>Création ENR-URC-2014-02 / ENR-URC-2014-03 / ENR-URC-2014-04</t>
    </r>
  </si>
  <si>
    <t>NA</t>
  </si>
  <si>
    <t>N°dossier</t>
  </si>
  <si>
    <t>Date inclusion</t>
  </si>
  <si>
    <t>N° inclusion</t>
  </si>
  <si>
    <t>Si applicable</t>
  </si>
  <si>
    <t>Date réelle</t>
  </si>
  <si>
    <t>Date théorique</t>
  </si>
  <si>
    <t>Biopsie</t>
  </si>
  <si>
    <t>Fenêtre théorique</t>
  </si>
  <si>
    <t>Suivi à partir de …</t>
  </si>
  <si>
    <t>Motif de différence entre début de l'EIG et prise de connaissance</t>
  </si>
  <si>
    <t>Nombre de jours de différence entre prise de connaissance de l'EIG et déclaration</t>
  </si>
  <si>
    <t>Motif de différence entre prise de connaissance de l'EIG et déclaration</t>
  </si>
  <si>
    <r>
      <t xml:space="preserve">Imputabilité
au ttt à l'étude </t>
    </r>
    <r>
      <rPr>
        <i/>
        <sz val="10"/>
        <color theme="1"/>
        <rFont val="Arial"/>
        <family val="2"/>
      </rPr>
      <t>(oui/non)</t>
    </r>
  </si>
  <si>
    <t>Intitulé de l'EIG</t>
  </si>
  <si>
    <t>Date du monitoring</t>
  </si>
  <si>
    <r>
      <t xml:space="preserve">Type de monitoring
</t>
    </r>
    <r>
      <rPr>
        <sz val="10"/>
        <rFont val="Arial"/>
        <family val="2"/>
      </rPr>
      <t>(physique / téléphonique)</t>
    </r>
  </si>
  <si>
    <t>Nombre de jours de monitoring</t>
  </si>
  <si>
    <t>Nombre d'ARCs</t>
  </si>
  <si>
    <t>Si physique</t>
  </si>
  <si>
    <t>Date à laquelle l'AE devient sérieux</t>
  </si>
  <si>
    <r>
      <t xml:space="preserve">Date envoi matériel biologique
</t>
    </r>
    <r>
      <rPr>
        <sz val="10"/>
        <color theme="1"/>
        <rFont val="Arial"/>
        <family val="2"/>
      </rPr>
      <t>(si applicable)</t>
    </r>
  </si>
  <si>
    <r>
      <t xml:space="preserve">Date réception résultats
</t>
    </r>
    <r>
      <rPr>
        <sz val="10"/>
        <color theme="1"/>
        <rFont val="Arial"/>
        <family val="2"/>
      </rPr>
      <t>(si applicable)</t>
    </r>
  </si>
  <si>
    <r>
      <t xml:space="preserve">Résultats
</t>
    </r>
    <r>
      <rPr>
        <sz val="10"/>
        <color theme="1"/>
        <rFont val="Arial"/>
        <family val="2"/>
      </rPr>
      <t>(si applicable)</t>
    </r>
  </si>
  <si>
    <t>N° screening ou inclusion</t>
  </si>
  <si>
    <t>Date proposition d'essai</t>
  </si>
  <si>
    <t>Tableau récapitulatif PRE-SCREENING ou PROPOSITION ESSAI</t>
  </si>
  <si>
    <t>Date CE 
pré-screening ou principal 
+ version</t>
  </si>
  <si>
    <r>
      <t xml:space="preserve">Poursuite 
</t>
    </r>
    <r>
      <rPr>
        <sz val="10"/>
        <rFont val="Arial"/>
        <family val="2"/>
      </rPr>
      <t>(O/N)</t>
    </r>
  </si>
  <si>
    <t>Si non, motif</t>
  </si>
  <si>
    <t>Code couleur</t>
  </si>
  <si>
    <t>EFR</t>
  </si>
  <si>
    <r>
      <t xml:space="preserve"> * Si pré-screening dans le cadre de l'essai : 
         1- Cliquer sur l'icone </t>
    </r>
    <r>
      <rPr>
        <sz val="18"/>
        <color rgb="FFC00000"/>
        <rFont val="Calibri"/>
        <family val="2"/>
        <scheme val="minor"/>
      </rPr>
      <t>-</t>
    </r>
    <r>
      <rPr>
        <sz val="11"/>
        <color rgb="FFC00000"/>
        <rFont val="Calibri"/>
        <family val="2"/>
        <scheme val="minor"/>
      </rPr>
      <t xml:space="preserve"> (au-dessus de la colonne N)
         2- Les colonnes "si applicable" peuvent être masquées si NA. Dans ce cas, noter sur la 1ère ligne NA.
* Si aucun pré-screening dans le cadre de l'essai, deux options au choix : 
        1- Renseigner " Non Applicable " sur la page et masquer l'onglet
        2- Masquer les colonnes E à J et renseigner les colonnes K à M</t>
    </r>
  </si>
  <si>
    <t>Planning SUIVIS</t>
  </si>
  <si>
    <t>Planning MONITORING</t>
  </si>
  <si>
    <r>
      <t xml:space="preserve">Date enregistrement ou pré-screening
</t>
    </r>
    <r>
      <rPr>
        <sz val="10"/>
        <color theme="9"/>
        <rFont val="Arial"/>
        <family val="2"/>
      </rPr>
      <t>(si applicable)</t>
    </r>
  </si>
  <si>
    <r>
      <t xml:space="preserve">N° pré-screening
</t>
    </r>
    <r>
      <rPr>
        <sz val="10"/>
        <color theme="9"/>
        <rFont val="Arial"/>
        <family val="2"/>
      </rPr>
      <t>(si applicable)</t>
    </r>
  </si>
  <si>
    <r>
      <rPr>
        <b/>
        <sz val="10"/>
        <color theme="5"/>
        <rFont val="Arial"/>
        <family val="2"/>
      </rPr>
      <t>Bras</t>
    </r>
    <r>
      <rPr>
        <sz val="10"/>
        <color theme="5"/>
        <rFont val="Arial"/>
        <family val="2"/>
      </rPr>
      <t xml:space="preserve"> 
(si applicable)</t>
    </r>
  </si>
  <si>
    <t>Saisie
CRF</t>
  </si>
  <si>
    <t>A. CABOCO</t>
  </si>
  <si>
    <t>S. CHONVILLE</t>
  </si>
  <si>
    <r>
      <t xml:space="preserve">Suivi MX
</t>
    </r>
    <r>
      <rPr>
        <sz val="10"/>
        <color rgb="FF0000FF"/>
        <rFont val="Arial"/>
        <family val="2"/>
      </rPr>
      <t xml:space="preserve">+/- </t>
    </r>
    <r>
      <rPr>
        <b/>
        <sz val="10"/>
        <color rgb="FF0000FF"/>
        <rFont val="Arial"/>
        <family val="2"/>
      </rPr>
      <t>x</t>
    </r>
    <r>
      <rPr>
        <sz val="10"/>
        <color rgb="FF0000FF"/>
        <rFont val="Arial"/>
        <family val="2"/>
      </rPr>
      <t xml:space="preserve"> j</t>
    </r>
  </si>
  <si>
    <t>* Seul le SAE principal est à reporter, il n'est pas nécéssaire de reporter les FU
* Le Nombre de Jours (colonne J est obtenu par calcul automatique)</t>
  </si>
  <si>
    <t>EIG à déclarer jusqu'à …</t>
  </si>
  <si>
    <t>Calcul automatique à mettre en place</t>
  </si>
  <si>
    <r>
      <t xml:space="preserve">Date de …. </t>
    </r>
    <r>
      <rPr>
        <i/>
        <sz val="9"/>
        <rFont val="Arial"/>
        <family val="2"/>
      </rPr>
      <t>(départ du calcul durée déclaration EIG)</t>
    </r>
  </si>
  <si>
    <t>Monito sur plusieurs jours autorisé</t>
  </si>
  <si>
    <t>Monito à plusieurs ARCs autorisés</t>
  </si>
  <si>
    <t>* Les colonnes "si applicable" peuvent être masquées si NA. Dans ce cas, noter NA sur la 1ère ligne.
* Le BRAS doit apparaitre de manière explicite soit dans la colonne, soit sous forme d'une légende 
* La colonne "Saisie CRF" : 
         1- Peut être placée au milieu ou à la fin du tableau ci-dessous (au choix de l'ARC/TRC)
         2- Noter "A jour au XX/XX/XXXX inclus" ou "saisie OK jusqu'à Suivi X inclus, Eval X au XX/XX/XXXX inclus"
         3- Peut être masquée si un code couleur est utilisé
         4- Un onglet saisie doit être rajouté s'il y a plusieurs intervenants sur l'essai. Il peut l'être aussi au choix de l'ARC/TRC. Dans ces cas, la colonne "Saisie CRF" doit être masquée.
* Les colonnes "Date de …. (départ du calcul durée déclaration EIG)" et "EIG à déclarer jusqu'à ..." peuvent être utilisées ou masquées au choix de l'ARC/TRC. Créer un calcul automatique en fonction du protocole
* Les examens particuliers (biopsie, PK tardive, EFR) peuvent apparaitre soit sous le tableau Planning suivi, au niveau des suivis où ils sont demandés soit regroupés dans un tableau à part (au choix de l'ARC/TRC). La liste des examens particuliers peut être plus exhaustive (au choix de l'ARC/TRC)
* Les fenêtres théoriques doivent apparaitre dans le tableau ci-dessous, deux options au choix (cf exemple) :
         1- Noter les fenêtres sous le nom de la visite : +/- x jours
         2- Utiliser la ligne pour le calcul des fenêtres théoriques (à supprimer si choix précédent, les dates en bleu sont des exemples =&gt; à supprimer)</t>
  </si>
  <si>
    <t>R. BEN MHAMED
V. HERRERA
S. CHONVILLE
C. CONSTANT
J GRATALOUP
L. GROUBET
A. GUILLEMET</t>
  </si>
  <si>
    <t>ARC
ARC
ARC
ARC
ARC Cadre
ARC
ARC</t>
  </si>
  <si>
    <t>ARC Cadre</t>
  </si>
  <si>
    <r>
      <t xml:space="preserve">15/09/2020 : </t>
    </r>
    <r>
      <rPr>
        <sz val="9"/>
        <color theme="1"/>
        <rFont val="Arial"/>
        <family val="2"/>
      </rPr>
      <t>Harmonisation des onglets et refonte du document</t>
    </r>
  </si>
  <si>
    <t>002</t>
  </si>
  <si>
    <t>Responsable CRC
Resp Adjointe CRC
Assistantes CRC
Attachés de Recherche Clinique CRC</t>
  </si>
  <si>
    <t>* Les autorisations seront pré-complétées en amont de la MEP
* Dans la colonne "Date du monitoring", ne noter que le 1er jour de monitoring (si monitoring sur plusieurs jours)</t>
  </si>
  <si>
    <r>
      <t xml:space="preserve">Suivi Global </t>
    </r>
    <r>
      <rPr>
        <b/>
        <sz val="14"/>
        <color rgb="FFE4008C"/>
        <rFont val="Calibri"/>
        <family val="2"/>
        <scheme val="minor"/>
      </rPr>
      <t>ALCINA 2 POUMON DRIVER cohorte n°11</t>
    </r>
  </si>
  <si>
    <t>Eval 7</t>
  </si>
  <si>
    <t>Eval 8</t>
  </si>
  <si>
    <t>JOUBERT</t>
  </si>
  <si>
    <t>Sophie</t>
  </si>
  <si>
    <t>11-01-01</t>
  </si>
  <si>
    <t>11-01-02</t>
  </si>
  <si>
    <t>11-01-03</t>
  </si>
  <si>
    <t>11-01-04</t>
  </si>
  <si>
    <t>11-01-05</t>
  </si>
  <si>
    <t>11-01-06</t>
  </si>
  <si>
    <t>11-01-07</t>
  </si>
  <si>
    <t>JULIEN</t>
  </si>
  <si>
    <t>Robert</t>
  </si>
  <si>
    <t>2304079</t>
  </si>
  <si>
    <t>01/06/2023</t>
  </si>
  <si>
    <t>22/06/2023</t>
  </si>
  <si>
    <t>05/07/2023</t>
  </si>
  <si>
    <t xml:space="preserve">Réponse partielle </t>
  </si>
  <si>
    <t>27/07/2023</t>
  </si>
  <si>
    <t>24/08/2023</t>
  </si>
  <si>
    <t>04/10/2023</t>
  </si>
  <si>
    <t>MORIZOT</t>
  </si>
  <si>
    <t xml:space="preserve">Françoise </t>
  </si>
  <si>
    <t>0105518</t>
  </si>
  <si>
    <t>24/07/2023</t>
  </si>
  <si>
    <t>30/08/2023</t>
  </si>
  <si>
    <t>2304441</t>
  </si>
  <si>
    <t>04/08/2023</t>
  </si>
  <si>
    <t>ROUSSEAU</t>
  </si>
  <si>
    <t>Marie</t>
  </si>
  <si>
    <t>20/09/2023</t>
  </si>
  <si>
    <t>2303793</t>
  </si>
  <si>
    <t>Alex</t>
  </si>
  <si>
    <t>0801962</t>
  </si>
  <si>
    <t>GALABRUN</t>
  </si>
  <si>
    <t>10/08/2023</t>
  </si>
  <si>
    <r>
      <t>OUI /</t>
    </r>
    <r>
      <rPr>
        <b/>
        <sz val="11"/>
        <color rgb="FFCC0066"/>
        <rFont val="Calibri"/>
        <family val="2"/>
        <scheme val="minor"/>
      </rPr>
      <t>NON</t>
    </r>
  </si>
  <si>
    <t>21/09/2023</t>
  </si>
  <si>
    <t>Charles</t>
  </si>
  <si>
    <t>2305763</t>
  </si>
  <si>
    <t>27/09/2023</t>
  </si>
  <si>
    <t>FRANJAU</t>
  </si>
  <si>
    <t>23/08/2023</t>
  </si>
  <si>
    <t>GIARDINI</t>
  </si>
  <si>
    <t xml:space="preserve">Lucette </t>
  </si>
  <si>
    <t>2305679</t>
  </si>
  <si>
    <t>18/09/2023</t>
  </si>
  <si>
    <t>25/10/2023</t>
  </si>
  <si>
    <t>CARLOS</t>
  </si>
  <si>
    <t>Anne</t>
  </si>
  <si>
    <t>2207588</t>
  </si>
  <si>
    <t>Mutation</t>
  </si>
  <si>
    <t>16/10/2023</t>
  </si>
  <si>
    <t>Eval 2 / T3b</t>
  </si>
  <si>
    <t>18/01/2024</t>
  </si>
  <si>
    <t xml:space="preserve">DA SILVA OLIVEIRA </t>
  </si>
  <si>
    <t xml:space="preserve">Mélanie </t>
  </si>
  <si>
    <t>2202931</t>
  </si>
  <si>
    <t>11-01-08</t>
  </si>
  <si>
    <t>22/11/2023</t>
  </si>
  <si>
    <t>Eval 3 / T3c</t>
  </si>
  <si>
    <t>GARRIC</t>
  </si>
  <si>
    <t>2307804</t>
  </si>
  <si>
    <t>11-01-09</t>
  </si>
  <si>
    <t xml:space="preserve">DEVINEAU </t>
  </si>
  <si>
    <t>Marion</t>
  </si>
  <si>
    <t>2307683</t>
  </si>
  <si>
    <t>COURPOURON</t>
  </si>
  <si>
    <t>Marc</t>
  </si>
  <si>
    <t>2305393</t>
  </si>
  <si>
    <t>11-01-10</t>
  </si>
  <si>
    <t>11/12/2023</t>
  </si>
  <si>
    <t>BONFILS</t>
  </si>
  <si>
    <t xml:space="preserve">Marie-Paule </t>
  </si>
  <si>
    <t>2102262</t>
  </si>
  <si>
    <t>11-01-11</t>
  </si>
  <si>
    <t>11/10/2023</t>
  </si>
  <si>
    <t>30/10/2023</t>
  </si>
  <si>
    <t>11-01-12</t>
  </si>
  <si>
    <t>11-01-13</t>
  </si>
  <si>
    <t>29/11/2023</t>
  </si>
  <si>
    <t>02/11/2023</t>
  </si>
  <si>
    <t>13/12/2023</t>
  </si>
  <si>
    <t>LANGE</t>
  </si>
  <si>
    <t xml:space="preserve">Bernard </t>
  </si>
  <si>
    <t>7502668</t>
  </si>
  <si>
    <t>11-01-14</t>
  </si>
  <si>
    <t>11-01-15</t>
  </si>
  <si>
    <t>REQUENA</t>
  </si>
  <si>
    <t xml:space="preserve">Marie-Christine </t>
  </si>
  <si>
    <t>9701781</t>
  </si>
  <si>
    <t>23/11/2023</t>
  </si>
  <si>
    <t>16/11/2023</t>
  </si>
  <si>
    <t>27/12/2023</t>
  </si>
  <si>
    <t>24/11/2023</t>
  </si>
  <si>
    <t>07/12/2023</t>
  </si>
  <si>
    <t>Eval 6</t>
  </si>
  <si>
    <t>Stabilité</t>
  </si>
  <si>
    <t>25/04/2024</t>
  </si>
  <si>
    <t>11-01-16</t>
  </si>
  <si>
    <t>Catherine</t>
  </si>
  <si>
    <t>1600232</t>
  </si>
  <si>
    <t xml:space="preserve">BRAVO </t>
  </si>
  <si>
    <t>07/02/2024</t>
  </si>
  <si>
    <t xml:space="preserve">VIRLOGEUX </t>
  </si>
  <si>
    <t>François</t>
  </si>
  <si>
    <t>2304420</t>
  </si>
  <si>
    <t>11-01-17</t>
  </si>
  <si>
    <t>09/02/2024</t>
  </si>
  <si>
    <t>CASSAR</t>
  </si>
  <si>
    <t>Colette</t>
  </si>
  <si>
    <t>2400430</t>
  </si>
  <si>
    <t>11-01-18</t>
  </si>
  <si>
    <t>15/02/2024</t>
  </si>
  <si>
    <t>LAJARA</t>
  </si>
  <si>
    <t xml:space="preserve">Jean </t>
  </si>
  <si>
    <t>1907763</t>
  </si>
  <si>
    <t>11-01-19</t>
  </si>
  <si>
    <t>22/02/2024</t>
  </si>
  <si>
    <t>06/03/2024</t>
  </si>
  <si>
    <t>11-01-20</t>
  </si>
  <si>
    <t>LETERRIER</t>
  </si>
  <si>
    <t xml:space="preserve">Hervé </t>
  </si>
  <si>
    <t>2002226</t>
  </si>
  <si>
    <t>15/03/2024</t>
  </si>
  <si>
    <t>20/03/2024</t>
  </si>
  <si>
    <t>03/04/2024</t>
  </si>
  <si>
    <t>18/04/2024</t>
  </si>
  <si>
    <t>2400830</t>
  </si>
  <si>
    <t>ASENSIO</t>
  </si>
  <si>
    <t>11-01-21</t>
  </si>
  <si>
    <t>13/03/2024</t>
  </si>
  <si>
    <t xml:space="preserve">Raymond </t>
  </si>
  <si>
    <t>24/04/2024</t>
  </si>
  <si>
    <t>05/03/2024</t>
  </si>
  <si>
    <t>MALLER</t>
  </si>
  <si>
    <t>Philippe</t>
  </si>
  <si>
    <t>2403065</t>
  </si>
  <si>
    <t>11-01-22</t>
  </si>
  <si>
    <t>15/05/2024</t>
  </si>
  <si>
    <t>11-01-23</t>
  </si>
  <si>
    <t>03/07/2024</t>
  </si>
  <si>
    <t>PITTIE</t>
  </si>
  <si>
    <t>Emeline</t>
  </si>
  <si>
    <t>2404751</t>
  </si>
  <si>
    <t>20/06/2024</t>
  </si>
  <si>
    <t>PINOL</t>
  </si>
  <si>
    <t>Brigitte</t>
  </si>
  <si>
    <t>2404766</t>
  </si>
  <si>
    <t>1108349</t>
  </si>
  <si>
    <t>VERDIER</t>
  </si>
  <si>
    <t>Christine</t>
  </si>
  <si>
    <t>Valerie</t>
  </si>
  <si>
    <t>GALY</t>
  </si>
  <si>
    <t>Florence</t>
  </si>
  <si>
    <t>2405894</t>
  </si>
  <si>
    <t>PAUL</t>
  </si>
  <si>
    <t>Regine</t>
  </si>
  <si>
    <t>1602259</t>
  </si>
  <si>
    <t>11-01-24</t>
  </si>
  <si>
    <t>18/07/2024</t>
  </si>
  <si>
    <t>11-01-25</t>
  </si>
  <si>
    <t>22/07/2024</t>
  </si>
  <si>
    <t>21/06/2024</t>
  </si>
  <si>
    <t>2406344</t>
  </si>
  <si>
    <t>CALMEL</t>
  </si>
  <si>
    <t>11-01-26</t>
  </si>
  <si>
    <t>02/07/2024</t>
  </si>
  <si>
    <t>11-01-27</t>
  </si>
  <si>
    <t>11-01-28</t>
  </si>
  <si>
    <t>07/08/2024</t>
  </si>
  <si>
    <t>01/08/2024</t>
  </si>
  <si>
    <t>VANDEPITTERIE</t>
  </si>
  <si>
    <t>2406710</t>
  </si>
  <si>
    <t>11-01-29</t>
  </si>
  <si>
    <t>10/07/2024</t>
  </si>
  <si>
    <t>10/10/2024</t>
  </si>
  <si>
    <t>Progression</t>
  </si>
  <si>
    <t>PIWNIK</t>
  </si>
  <si>
    <t>Sonia</t>
  </si>
  <si>
    <t>2207174</t>
  </si>
  <si>
    <t>THERON</t>
  </si>
  <si>
    <t>Abraham</t>
  </si>
  <si>
    <t>2407030</t>
  </si>
  <si>
    <t>11-01-31</t>
  </si>
  <si>
    <t xml:space="preserve">11-01-30  </t>
  </si>
  <si>
    <t>29/07/2024</t>
  </si>
  <si>
    <t>08/08/2024</t>
  </si>
  <si>
    <t>28/08/2024</t>
  </si>
  <si>
    <t>05/09/2024</t>
  </si>
  <si>
    <t>Eval 1 / T3a</t>
  </si>
  <si>
    <t>Inclusion / T1</t>
  </si>
  <si>
    <t>09/11/2023</t>
  </si>
  <si>
    <t>Date</t>
  </si>
  <si>
    <t>Réponse</t>
  </si>
  <si>
    <t>Progression (T4)</t>
  </si>
  <si>
    <t>Eval 4 / T3d</t>
  </si>
  <si>
    <t>prélèvement non fait</t>
  </si>
  <si>
    <t>AEG (T4)</t>
  </si>
  <si>
    <t>Réponse Partielle</t>
  </si>
  <si>
    <r>
      <rPr>
        <b/>
        <u/>
        <sz val="11"/>
        <color theme="1"/>
        <rFont val="Calibri"/>
        <family val="2"/>
        <scheme val="minor"/>
      </rPr>
      <t>Code couleur</t>
    </r>
    <r>
      <rPr>
        <b/>
        <sz val="11"/>
        <color theme="1"/>
        <rFont val="Calibri"/>
        <family val="2"/>
        <scheme val="minor"/>
      </rPr>
      <t xml:space="preserve"> :</t>
    </r>
  </si>
  <si>
    <t>Eval clinique / T2</t>
  </si>
  <si>
    <t>Eval 5 / T3e</t>
  </si>
  <si>
    <t>EGFR Del 19</t>
  </si>
  <si>
    <t>EGFR L858R</t>
  </si>
  <si>
    <t>KRAS G12C</t>
  </si>
  <si>
    <t>EGFR L861Q</t>
  </si>
  <si>
    <t>REICHEL</t>
  </si>
  <si>
    <t>Martine</t>
  </si>
  <si>
    <t>DASSONVILLE</t>
  </si>
  <si>
    <t>Anne-Catherine</t>
  </si>
  <si>
    <t>MANISCALCO</t>
  </si>
  <si>
    <t>Karine</t>
  </si>
  <si>
    <t>11-01-32</t>
  </si>
  <si>
    <t>11-01-33</t>
  </si>
  <si>
    <t>11-01-34</t>
  </si>
  <si>
    <t>CROS</t>
  </si>
  <si>
    <t>Jean-François</t>
  </si>
  <si>
    <t>COMES</t>
  </si>
  <si>
    <t>Dominique</t>
  </si>
  <si>
    <t>MILLARD</t>
  </si>
  <si>
    <t xml:space="preserve">Valérie </t>
  </si>
  <si>
    <t>Réponse partielle</t>
  </si>
  <si>
    <t>16/01/2025</t>
  </si>
  <si>
    <t>11-01-35</t>
  </si>
  <si>
    <t>PERAUDON</t>
  </si>
  <si>
    <t>RAVEL</t>
  </si>
  <si>
    <t>SALTEL</t>
  </si>
  <si>
    <t>Jean-Marie</t>
  </si>
  <si>
    <t>11-01-36</t>
  </si>
  <si>
    <t>11-01-37</t>
  </si>
  <si>
    <t>11-01-38</t>
  </si>
  <si>
    <t>11-01-39</t>
  </si>
  <si>
    <t>11-01-40</t>
  </si>
  <si>
    <t>Grille en attente</t>
  </si>
  <si>
    <t xml:space="preserve">REDONDO </t>
  </si>
  <si>
    <t>Véronique</t>
  </si>
  <si>
    <t>BELDA</t>
  </si>
  <si>
    <t>Noelle</t>
  </si>
  <si>
    <t>IACOVO</t>
  </si>
  <si>
    <t>Jean</t>
  </si>
  <si>
    <t>NGUYEN</t>
  </si>
  <si>
    <t>Farida</t>
  </si>
  <si>
    <t>LARROQUE</t>
  </si>
  <si>
    <t>Eric</t>
  </si>
  <si>
    <t>11-01-41</t>
  </si>
  <si>
    <t>11-01-42</t>
  </si>
  <si>
    <t>11-01-43</t>
  </si>
  <si>
    <t>11-01-44</t>
  </si>
  <si>
    <t>11-01-45</t>
  </si>
  <si>
    <t>Décès</t>
  </si>
  <si>
    <t>DUBUS</t>
  </si>
  <si>
    <t>Fabrice</t>
  </si>
  <si>
    <t xml:space="preserve">DUBOIS </t>
  </si>
  <si>
    <t>Mercedes</t>
  </si>
  <si>
    <t>11-01-46</t>
  </si>
  <si>
    <t>11-01-47</t>
  </si>
  <si>
    <t>17/04/2025</t>
  </si>
  <si>
    <t>25 KRAS G12 C</t>
  </si>
  <si>
    <t>sortie d'étude</t>
  </si>
  <si>
    <t>grille non faite</t>
  </si>
  <si>
    <t>Eval 9</t>
  </si>
  <si>
    <t>Eval 10</t>
  </si>
  <si>
    <t>CANIOT</t>
  </si>
  <si>
    <t>Joelle</t>
  </si>
  <si>
    <t>GENDRE</t>
  </si>
  <si>
    <t>Marie-Louise</t>
  </si>
  <si>
    <t>MANNIEZ</t>
  </si>
  <si>
    <t>Yves</t>
  </si>
  <si>
    <t>Sevgi</t>
  </si>
  <si>
    <t>RENOT</t>
  </si>
  <si>
    <t>CHAMBON</t>
  </si>
  <si>
    <t>BROTONS</t>
  </si>
  <si>
    <t>Claude</t>
  </si>
  <si>
    <t>11-01-48</t>
  </si>
  <si>
    <t>11-01-49</t>
  </si>
  <si>
    <t>11-01-50</t>
  </si>
  <si>
    <t>11-01-51</t>
  </si>
  <si>
    <t>11-01-52</t>
  </si>
  <si>
    <t>11-01-53</t>
  </si>
  <si>
    <t>11-01-54</t>
  </si>
  <si>
    <t>Décès (T4 non plv)</t>
  </si>
  <si>
    <t xml:space="preserve"> 2 EGFR L861Q</t>
  </si>
  <si>
    <t>17 EGFR Del19</t>
  </si>
  <si>
    <r>
      <t xml:space="preserve">Au 23/03/2026
</t>
    </r>
    <r>
      <rPr>
        <b/>
        <sz val="12"/>
        <color theme="0"/>
        <rFont val="Calibri"/>
        <family val="2"/>
        <scheme val="minor"/>
      </rPr>
      <t>54 inclusions</t>
    </r>
  </si>
  <si>
    <t>10 EGFR L858R</t>
  </si>
  <si>
    <t xml:space="preserve">Radiothérapie : </t>
  </si>
  <si>
    <t>Giardini 27/12/2024 au 02/01/2025</t>
  </si>
  <si>
    <t>Vandepitterie 05/11/2025 au 10/11/2025</t>
  </si>
  <si>
    <t>Paul 28/01/2026 au 03/02/2026</t>
  </si>
  <si>
    <t>Pinol (à venir)</t>
  </si>
  <si>
    <t>SIRKINTI</t>
  </si>
  <si>
    <t>Sirkinti (à venir)</t>
  </si>
  <si>
    <t>Leterrier 08/01/2026 au 21/01/2026</t>
  </si>
  <si>
    <t>Lobectomie :</t>
  </si>
  <si>
    <t>Vandepitterie 02/2026</t>
  </si>
  <si>
    <t>OK</t>
  </si>
  <si>
    <t>ADNtc T1</t>
  </si>
  <si>
    <t xml:space="preserve">24,4 </t>
  </si>
  <si>
    <t>132,2</t>
  </si>
  <si>
    <t>1509,7</t>
  </si>
  <si>
    <t>193,16</t>
  </si>
  <si>
    <t>3.1</t>
  </si>
  <si>
    <t>318,21</t>
  </si>
  <si>
    <t>106,1</t>
  </si>
  <si>
    <t>12,7</t>
  </si>
  <si>
    <t>8,7</t>
  </si>
  <si>
    <t xml:space="preserve">523,1 </t>
  </si>
  <si>
    <t>452,2</t>
  </si>
  <si>
    <t>1168,9</t>
  </si>
  <si>
    <t>2304,4</t>
  </si>
  <si>
    <t>5701,5</t>
  </si>
  <si>
    <t>16,53</t>
  </si>
  <si>
    <t>8,63</t>
  </si>
  <si>
    <t>ADNtc T2</t>
  </si>
  <si>
    <t>0</t>
  </si>
  <si>
    <t>22,5</t>
  </si>
  <si>
    <t>8,04</t>
  </si>
  <si>
    <t xml:space="preserve">7,6 </t>
  </si>
  <si>
    <t xml:space="preserve">13,7 </t>
  </si>
  <si>
    <t>9,84</t>
  </si>
  <si>
    <t>4,75</t>
  </si>
  <si>
    <t xml:space="preserve">12,4 </t>
  </si>
  <si>
    <t>ADNtc T3a</t>
  </si>
  <si>
    <t>ADNtc T4</t>
  </si>
  <si>
    <t>65.2</t>
  </si>
  <si>
    <t xml:space="preserve">7974,9 </t>
  </si>
  <si>
    <t>24,7</t>
  </si>
  <si>
    <t xml:space="preserve">19,9 </t>
  </si>
  <si>
    <t>8,3</t>
  </si>
  <si>
    <t>61,6</t>
  </si>
  <si>
    <t>126,2</t>
  </si>
  <si>
    <t>CTC T1</t>
  </si>
  <si>
    <t xml:space="preserve">CTC T1 HES-1 </t>
  </si>
  <si>
    <t>CTC T4</t>
  </si>
  <si>
    <t>CTC T4 HES-1</t>
  </si>
  <si>
    <t>IHC T1 HES-1 (Hscore nuc)</t>
  </si>
  <si>
    <t>IHC T1 HES-1 (Hscore cyto)</t>
  </si>
  <si>
    <t>IHC T1 HES-1 (ratio N/C)</t>
  </si>
  <si>
    <t>IHC T4 HES-1 (Hscore nuc)</t>
  </si>
  <si>
    <t>IHC T4 HES-1 (Hscore cyto)</t>
  </si>
  <si>
    <t>PFS2 date début TT</t>
  </si>
  <si>
    <t>PFS2 date progression scanner</t>
  </si>
  <si>
    <t>FAIT</t>
  </si>
  <si>
    <t>6,79</t>
  </si>
  <si>
    <t>6,5</t>
  </si>
  <si>
    <t>3,04</t>
  </si>
  <si>
    <t>26,8</t>
  </si>
  <si>
    <t>377,2</t>
  </si>
  <si>
    <t>18996,1</t>
  </si>
  <si>
    <t>17,9</t>
  </si>
  <si>
    <t>17,8</t>
  </si>
  <si>
    <t>2,24</t>
  </si>
  <si>
    <t>72,8</t>
  </si>
  <si>
    <t>957,9</t>
  </si>
  <si>
    <t>227,5</t>
  </si>
  <si>
    <t>177,7</t>
  </si>
  <si>
    <t xml:space="preserve">59,4 </t>
  </si>
  <si>
    <t>PFS 2 TT</t>
  </si>
  <si>
    <t>14/02/2024</t>
  </si>
  <si>
    <t>carboplatine pemetrexed bevacizumab</t>
  </si>
  <si>
    <t>09/12/2024</t>
  </si>
  <si>
    <t>10/05/2024</t>
  </si>
  <si>
    <t>12/12/2023</t>
  </si>
  <si>
    <t>statut DDN</t>
  </si>
  <si>
    <t>DDN</t>
  </si>
  <si>
    <t>V</t>
  </si>
  <si>
    <t>D</t>
  </si>
  <si>
    <t>carboplatine pemetrexed amivantamab</t>
  </si>
  <si>
    <t>28/10/2025</t>
  </si>
  <si>
    <t>02/04/2026</t>
  </si>
  <si>
    <t>osimertinib datopotamab-deruxtecan</t>
  </si>
  <si>
    <t>09/07/2024</t>
  </si>
  <si>
    <t>radiothérapie</t>
  </si>
  <si>
    <t>16/09/2024</t>
  </si>
  <si>
    <t>26/08/2025</t>
  </si>
  <si>
    <t>18/09/2025</t>
  </si>
  <si>
    <t>vinorelbine</t>
  </si>
  <si>
    <t>22/10/2025</t>
  </si>
  <si>
    <t>20/04/2026</t>
  </si>
  <si>
    <t>31/07/2025</t>
  </si>
  <si>
    <t>carboplatine pemetrexed</t>
  </si>
  <si>
    <t>02/09/2025</t>
  </si>
  <si>
    <t>08/01/2026</t>
  </si>
  <si>
    <t>17/02/2025</t>
  </si>
  <si>
    <t>datopotamab-deruxtecan</t>
  </si>
  <si>
    <t>20/10/2025</t>
  </si>
  <si>
    <t>28/01/2026</t>
  </si>
  <si>
    <t>23/12/2025</t>
  </si>
  <si>
    <t>13/03/2025</t>
  </si>
  <si>
    <t>10/04/2025</t>
  </si>
  <si>
    <t>07/04/2026</t>
  </si>
  <si>
    <t>09/02/2026</t>
  </si>
  <si>
    <t>chirurgie</t>
  </si>
  <si>
    <t>02/10/2024</t>
  </si>
  <si>
    <t>carboplatine paclitaxel bevacizumab</t>
  </si>
  <si>
    <t>paclitaxel bevacizumab</t>
  </si>
  <si>
    <t>carboplatine paclitaxel</t>
  </si>
  <si>
    <t>08/01/2025</t>
  </si>
  <si>
    <t>2408865</t>
  </si>
  <si>
    <t>carboplatine etoposide</t>
  </si>
  <si>
    <t>07/04/2025</t>
  </si>
  <si>
    <t>03/11/2025</t>
  </si>
  <si>
    <t>29/04/2025</t>
  </si>
  <si>
    <t>23/07/2025</t>
  </si>
  <si>
    <t>carboplatine gemcitabine bevacizumab</t>
  </si>
  <si>
    <t>22/04/2025</t>
  </si>
  <si>
    <t>10/07/2025</t>
  </si>
  <si>
    <t>27/02/2025</t>
  </si>
  <si>
    <t>telisotuzumab vedotin</t>
  </si>
  <si>
    <t>14/05/2025</t>
  </si>
  <si>
    <t>15/04/2026</t>
  </si>
  <si>
    <t>2</t>
  </si>
  <si>
    <t>méca R</t>
  </si>
  <si>
    <t>Inclusion</t>
  </si>
  <si>
    <t>Ech</t>
  </si>
  <si>
    <t>Gène muté</t>
  </si>
  <si>
    <t>Position ADN</t>
  </si>
  <si>
    <t>Position protéine
(1 lettre)</t>
  </si>
  <si>
    <t>ESCAT</t>
  </si>
  <si>
    <t>RAYMOND</t>
  </si>
  <si>
    <t>T1</t>
  </si>
  <si>
    <t>EGFR</t>
  </si>
  <si>
    <t>c.2573T&gt;G</t>
  </si>
  <si>
    <t>p.L858R</t>
  </si>
  <si>
    <t>ESCAT Tier I</t>
  </si>
  <si>
    <t>FGFR3</t>
  </si>
  <si>
    <t>c.846G&gt;C</t>
  </si>
  <si>
    <t>p.Q282H</t>
  </si>
  <si>
    <t>Constit ?</t>
  </si>
  <si>
    <t>NTRK1</t>
  </si>
  <si>
    <t>c.1729G&gt;A</t>
  </si>
  <si>
    <t>p.G577S</t>
  </si>
  <si>
    <t>ESCAT Tier II-X</t>
  </si>
  <si>
    <t>PDGFRA</t>
  </si>
  <si>
    <t>c.1700_1701insGGATGGACAATGAAATTCGCTGGAGGGTCATTGAATCAATCAGCCC</t>
  </si>
  <si>
    <t>p.D568*</t>
  </si>
  <si>
    <t>TP53</t>
  </si>
  <si>
    <t>c.64del</t>
  </si>
  <si>
    <t>p.L22Yfs*22</t>
  </si>
  <si>
    <t>T4</t>
  </si>
  <si>
    <t>BRAVO</t>
  </si>
  <si>
    <t>CATHERINE</t>
  </si>
  <si>
    <t>KRAS</t>
  </si>
  <si>
    <t>c.34G&gt;T</t>
  </si>
  <si>
    <t>p.G12C</t>
  </si>
  <si>
    <t>T4 ?</t>
  </si>
  <si>
    <t>KEAP1</t>
  </si>
  <si>
    <t>c.121G&gt;T</t>
  </si>
  <si>
    <t>p.E41*</t>
  </si>
  <si>
    <t>c.35G&gt;T</t>
  </si>
  <si>
    <t>p.G12V</t>
  </si>
  <si>
    <t>?</t>
  </si>
  <si>
    <t>STK11</t>
  </si>
  <si>
    <t>c.647C&gt;T</t>
  </si>
  <si>
    <t>p.S216F</t>
  </si>
  <si>
    <t>c.734G&gt;T</t>
  </si>
  <si>
    <t>p.G245V</t>
  </si>
  <si>
    <t>c.473G&gt;T</t>
  </si>
  <si>
    <t>p.R158L</t>
  </si>
  <si>
    <t>c.517G&gt;A</t>
  </si>
  <si>
    <t>p.V173M</t>
  </si>
  <si>
    <t>ANNE-MARIE</t>
  </si>
  <si>
    <t>c.2235_2249del</t>
  </si>
  <si>
    <t>p.E746_A750del</t>
  </si>
  <si>
    <t>PIK3CA</t>
  </si>
  <si>
    <t>c.331A&gt;G</t>
  </si>
  <si>
    <t>p.K111E</t>
  </si>
  <si>
    <t>RB1</t>
  </si>
  <si>
    <t>c.2343_2357delinsT</t>
  </si>
  <si>
    <t>p.I782Sfs*8</t>
  </si>
  <si>
    <t>c.745A&gt;G</t>
  </si>
  <si>
    <t>p.R249G</t>
  </si>
  <si>
    <t>ANNE</t>
  </si>
  <si>
    <t>c.725G&gt;T</t>
  </si>
  <si>
    <t>p.G242V</t>
  </si>
  <si>
    <t>WT</t>
  </si>
  <si>
    <t>DOMINIQUE</t>
  </si>
  <si>
    <t>FGFR2</t>
  </si>
  <si>
    <t>c.1900G&gt;A</t>
  </si>
  <si>
    <t>p.V634I</t>
  </si>
  <si>
    <t>c.782+1G&gt;T</t>
  </si>
  <si>
    <t>p.</t>
  </si>
  <si>
    <t>JEAN-FRANCOIS</t>
  </si>
  <si>
    <t>c.2239_2251delinsC</t>
  </si>
  <si>
    <t>p.L747_T751delinsP</t>
  </si>
  <si>
    <t>c.524G&gt;A</t>
  </si>
  <si>
    <t>p.R175H</t>
  </si>
  <si>
    <t>DA SILVA OLIVEIRA</t>
  </si>
  <si>
    <t>MELANIE</t>
  </si>
  <si>
    <t>ANNE-CATHERINE</t>
  </si>
  <si>
    <t>c.523del</t>
  </si>
  <si>
    <t>p.L175Wfs*55</t>
  </si>
  <si>
    <t>c.965dup</t>
  </si>
  <si>
    <t>p.P324Tfs*36</t>
  </si>
  <si>
    <t>NTRK3</t>
  </si>
  <si>
    <t>c.1940C&gt;G</t>
  </si>
  <si>
    <t>p.A647G</t>
  </si>
  <si>
    <t>c.672+1G&gt;T</t>
  </si>
  <si>
    <t>DEVINEAU</t>
  </si>
  <si>
    <t>MARION</t>
  </si>
  <si>
    <t>c.902del</t>
  </si>
  <si>
    <t>p.P301Qfs*44</t>
  </si>
  <si>
    <t>ALEX</t>
  </si>
  <si>
    <t>c.2618G&gt;A</t>
  </si>
  <si>
    <t>p.G873E</t>
  </si>
  <si>
    <t>c.443T&gt;C</t>
  </si>
  <si>
    <t>p.F148S</t>
  </si>
  <si>
    <t>Non analysable</t>
  </si>
  <si>
    <t>FLORENCE</t>
  </si>
  <si>
    <t>c.2237_2252delinsT</t>
  </si>
  <si>
    <t>p.E746_T751delinsV</t>
  </si>
  <si>
    <t>c.527_528delinsTT</t>
  </si>
  <si>
    <t>p.C176F</t>
  </si>
  <si>
    <t>LUCETTE</t>
  </si>
  <si>
    <t>ROBERT</t>
  </si>
  <si>
    <t>c.2240_2254del</t>
  </si>
  <si>
    <t>p.L747_T751del</t>
  </si>
  <si>
    <t>c.2372A&gt;C</t>
  </si>
  <si>
    <t>p.Q791P</t>
  </si>
  <si>
    <t>BERNARD</t>
  </si>
  <si>
    <t>c.2582T&gt;A</t>
  </si>
  <si>
    <t>p.L861Q</t>
  </si>
  <si>
    <t>ERIC</t>
  </si>
  <si>
    <t>c.471C&gt;A</t>
  </si>
  <si>
    <t>p.N157K</t>
  </si>
  <si>
    <t>c.488A&gt;G</t>
  </si>
  <si>
    <t>p.Y163C</t>
  </si>
  <si>
    <t>KARINE</t>
  </si>
  <si>
    <t>c.582C&gt;G</t>
  </si>
  <si>
    <t>p.D194E</t>
  </si>
  <si>
    <t>c.824G&gt;T</t>
  </si>
  <si>
    <t>p.C275F</t>
  </si>
  <si>
    <t>VALERIE</t>
  </si>
  <si>
    <t>c.1045G&gt;T</t>
  </si>
  <si>
    <t>p.E349*</t>
  </si>
  <si>
    <t>FRANCOISE</t>
  </si>
  <si>
    <t>c.1123G&gt;A</t>
  </si>
  <si>
    <t>p.E2375K</t>
  </si>
  <si>
    <t>FARIDA</t>
  </si>
  <si>
    <t>c.474_475delinsCT</t>
  </si>
  <si>
    <t>A159S</t>
  </si>
  <si>
    <t>c.396C&gt;G</t>
  </si>
  <si>
    <t>C132W</t>
  </si>
  <si>
    <t>p.A159S</t>
  </si>
  <si>
    <t>c.35G&gt;A</t>
  </si>
  <si>
    <t>p.G12D</t>
  </si>
  <si>
    <t>c.38G&gt;A</t>
  </si>
  <si>
    <t>p.G13D</t>
  </si>
  <si>
    <t>c.183A&gt;C</t>
  </si>
  <si>
    <t>p.Q61H</t>
  </si>
  <si>
    <t>p.C132W</t>
  </si>
  <si>
    <t>REGINE</t>
  </si>
  <si>
    <t>c.2512C&gt;G</t>
  </si>
  <si>
    <t>p.L838V</t>
  </si>
  <si>
    <t>c.710T&gt;C</t>
  </si>
  <si>
    <t>p.M237T</t>
  </si>
  <si>
    <t>EMELINE</t>
  </si>
  <si>
    <t>E746_A750del</t>
  </si>
  <si>
    <t>c.395A&gt;C</t>
  </si>
  <si>
    <t>K132T</t>
  </si>
  <si>
    <t>SONIA</t>
  </si>
  <si>
    <t>c.511G&gt;T</t>
  </si>
  <si>
    <t>p.E171*</t>
  </si>
  <si>
    <t>c.1090G&gt;T</t>
  </si>
  <si>
    <t>p.G364C</t>
  </si>
  <si>
    <t>c.1001G&gt;T</t>
  </si>
  <si>
    <t>p.G334V</t>
  </si>
  <si>
    <t>c.756del</t>
  </si>
  <si>
    <t>p.T253Pfs*92</t>
  </si>
  <si>
    <t>c.283C&gt;G</t>
  </si>
  <si>
    <t>p.H95D</t>
  </si>
  <si>
    <t>MARTINE</t>
  </si>
  <si>
    <t>c.2326-2A&gt;G</t>
  </si>
  <si>
    <t>c.662C&gt;T</t>
  </si>
  <si>
    <t>p.P221L</t>
  </si>
  <si>
    <t>c.830G&gt;T</t>
  </si>
  <si>
    <t>p.C277F</t>
  </si>
  <si>
    <t>MARIE-CHRISTINE</t>
  </si>
  <si>
    <t>c.842dup</t>
  </si>
  <si>
    <t>p.L282Afs*3</t>
  </si>
  <si>
    <t>MARIE</t>
  </si>
  <si>
    <t>c.916C&gt;T</t>
  </si>
  <si>
    <t>p.R306*</t>
  </si>
  <si>
    <t>SEVGI</t>
  </si>
  <si>
    <t>T1 ?</t>
  </si>
  <si>
    <t>c.713G&gt;A</t>
  </si>
  <si>
    <t>p.C238Y</t>
  </si>
  <si>
    <t>c.2240_2257del</t>
  </si>
  <si>
    <t>p.L747_P753delinsS</t>
  </si>
  <si>
    <t>c.772G&gt;T</t>
  </si>
  <si>
    <t>p.E258*</t>
  </si>
  <si>
    <t>CHRISTINE</t>
  </si>
  <si>
    <t>c.1258T&gt;C</t>
  </si>
  <si>
    <t>p.C420R</t>
  </si>
  <si>
    <t>c.1624G&gt;A</t>
  </si>
  <si>
    <t>p.E542K</t>
  </si>
  <si>
    <t>c.180del</t>
  </si>
  <si>
    <t>p.Y60*</t>
  </si>
  <si>
    <t>VIRLOGEUX</t>
  </si>
  <si>
    <t>FRANCOIS</t>
  </si>
  <si>
    <t>c.1059+1del</t>
  </si>
  <si>
    <t>c.725G&gt;A</t>
  </si>
  <si>
    <t>p.C242Y</t>
  </si>
  <si>
    <t>c.379T&gt;C</t>
  </si>
  <si>
    <t>p.S127P</t>
  </si>
  <si>
    <t>Fréquence du variant ()</t>
  </si>
  <si>
    <t>55.2</t>
  </si>
  <si>
    <t>47.08</t>
  </si>
  <si>
    <t>4.23</t>
  </si>
  <si>
    <t>0.7</t>
  </si>
  <si>
    <t>14.47</t>
  </si>
  <si>
    <t>2.23</t>
  </si>
  <si>
    <t>49.87</t>
  </si>
  <si>
    <t>0.44%</t>
  </si>
  <si>
    <t>1.63%</t>
  </si>
  <si>
    <t>1.16%</t>
  </si>
  <si>
    <t>1.62%</t>
  </si>
  <si>
    <t>0.66%</t>
  </si>
  <si>
    <t>2.17%</t>
  </si>
  <si>
    <t>0.43%</t>
  </si>
  <si>
    <t>10.2%</t>
  </si>
  <si>
    <t>1.06%</t>
  </si>
  <si>
    <t>6.77%</t>
  </si>
  <si>
    <t>8.43%</t>
  </si>
  <si>
    <t>1.27%</t>
  </si>
  <si>
    <t>0.87%</t>
  </si>
  <si>
    <t>2.05%</t>
  </si>
  <si>
    <t>1.26%</t>
  </si>
  <si>
    <t>0.12</t>
  </si>
  <si>
    <t>0.33%</t>
  </si>
  <si>
    <t>50.34%</t>
  </si>
  <si>
    <t>6.83%</t>
  </si>
  <si>
    <t>5.87%</t>
  </si>
  <si>
    <t>46.76%</t>
  </si>
  <si>
    <t>0.94%</t>
  </si>
  <si>
    <t>25.69</t>
  </si>
  <si>
    <t>32.17</t>
  </si>
  <si>
    <t>4.66</t>
  </si>
  <si>
    <t>3.45</t>
  </si>
  <si>
    <t>3.06</t>
  </si>
  <si>
    <t>46.68</t>
  </si>
  <si>
    <t>0.77</t>
  </si>
  <si>
    <t>0.94</t>
  </si>
  <si>
    <t>0.82</t>
  </si>
  <si>
    <t>24.61</t>
  </si>
  <si>
    <t>32.99</t>
  </si>
  <si>
    <t>0.96</t>
  </si>
  <si>
    <t>0.79</t>
  </si>
  <si>
    <t>1.12</t>
  </si>
  <si>
    <t>0.52</t>
  </si>
  <si>
    <t>15.37%</t>
  </si>
  <si>
    <t>15.6%</t>
  </si>
  <si>
    <t>2.24%</t>
  </si>
  <si>
    <t>0.19%</t>
  </si>
  <si>
    <t>0.85%</t>
  </si>
  <si>
    <t>1.01%</t>
  </si>
  <si>
    <t>4.28%</t>
  </si>
  <si>
    <t>9.43%</t>
  </si>
  <si>
    <t>3.15%</t>
  </si>
  <si>
    <t>18.01</t>
  </si>
  <si>
    <t>15.37</t>
  </si>
  <si>
    <t>16.44</t>
  </si>
  <si>
    <t>0.08</t>
  </si>
  <si>
    <t>6.15</t>
  </si>
  <si>
    <t>5.56</t>
  </si>
  <si>
    <t>1.68</t>
  </si>
  <si>
    <t>0.37</t>
  </si>
  <si>
    <t>0.17</t>
  </si>
  <si>
    <t>5.99</t>
  </si>
  <si>
    <t>2.06%</t>
  </si>
  <si>
    <t>2.09%</t>
  </si>
  <si>
    <t>49.48%</t>
  </si>
  <si>
    <t>51.86%</t>
  </si>
  <si>
    <t>1.25%</t>
  </si>
  <si>
    <t>2.21%</t>
  </si>
  <si>
    <t>1.37%</t>
  </si>
  <si>
    <t>1.8%</t>
  </si>
  <si>
    <t>4.3%</t>
  </si>
  <si>
    <t>28.69%</t>
  </si>
  <si>
    <t>2.31%</t>
  </si>
  <si>
    <t>2.0%</t>
  </si>
  <si>
    <t>38.88%</t>
  </si>
  <si>
    <t>63.76%</t>
  </si>
  <si>
    <t>0.61%</t>
  </si>
  <si>
    <t>18.48%</t>
  </si>
  <si>
    <t>17.72%</t>
  </si>
  <si>
    <t>2.91%</t>
  </si>
  <si>
    <t>3.29%</t>
  </si>
  <si>
    <t>3.73%</t>
  </si>
  <si>
    <t>1.79%</t>
  </si>
  <si>
    <t>0.31%</t>
  </si>
  <si>
    <t>0.16%</t>
  </si>
  <si>
    <t>0.3%</t>
  </si>
  <si>
    <t>67.96%</t>
  </si>
  <si>
    <t>6.08%</t>
  </si>
  <si>
    <t>3.44%</t>
  </si>
  <si>
    <t>0.11%</t>
  </si>
  <si>
    <t>0.41%</t>
  </si>
  <si>
    <t>1.03%</t>
  </si>
  <si>
    <t>0.96%</t>
  </si>
  <si>
    <t>0.55%</t>
  </si>
  <si>
    <t>2.58%</t>
  </si>
  <si>
    <t>1.15%</t>
  </si>
  <si>
    <t>0.46%</t>
  </si>
  <si>
    <t>2.23%</t>
  </si>
  <si>
    <t>0.93%</t>
  </si>
  <si>
    <t>PRENOM</t>
  </si>
  <si>
    <t>INCLUSION</t>
  </si>
  <si>
    <t>T1 CNV</t>
  </si>
  <si>
    <t>T1 ARN</t>
  </si>
  <si>
    <t>T4 CNV</t>
  </si>
  <si>
    <t>T4 ARN</t>
  </si>
  <si>
    <t>T4 NGSc ADN</t>
  </si>
  <si>
    <t>T4 NGSt ADN</t>
  </si>
  <si>
    <t>complexité (simple/ complexe)</t>
  </si>
  <si>
    <t>T1 NGSt ADN</t>
  </si>
  <si>
    <t>T1 NGSc ADN</t>
  </si>
  <si>
    <t>EGFR L858R / FGFR3</t>
  </si>
  <si>
    <t>EGFR L858R / FGFR3/ TP53/ NTRK1/PDGFRA</t>
  </si>
  <si>
    <t>ampli EGFR</t>
  </si>
  <si>
    <t>on target</t>
  </si>
  <si>
    <t>simple</t>
  </si>
  <si>
    <t xml:space="preserve">KRAS G12V / KEAP 1 / TP 53 / TP 53 / TP 53/ STK11 </t>
  </si>
  <si>
    <t>on target / tumor suppressor</t>
  </si>
  <si>
    <t>complexe</t>
  </si>
  <si>
    <t>EGFR DEL19</t>
  </si>
  <si>
    <t>EGFR DEL19 / PIK3CA / TP53 / RB1</t>
  </si>
  <si>
    <t>T4 IHC</t>
  </si>
  <si>
    <t>type méca r (on target / MAPK / other RTK / tumor suppressor / cell cycle/ switch histo)</t>
  </si>
  <si>
    <t>KRAS G12C/ STK11/ MET</t>
  </si>
  <si>
    <t>KRAS G12C/ STK11</t>
  </si>
  <si>
    <t>KRAS G12C/ TP53 / FGFR2</t>
  </si>
  <si>
    <t>KRAS G12C / ALK / FGFR2 / MET</t>
  </si>
  <si>
    <t>MET high</t>
  </si>
  <si>
    <t>KRAS G12C*</t>
  </si>
  <si>
    <t>EGFR DEL19/ TP53</t>
  </si>
  <si>
    <t>ampli MET</t>
  </si>
  <si>
    <t xml:space="preserve">other RTK </t>
  </si>
  <si>
    <t>KRAS G12C / STK11 / KEAP1</t>
  </si>
  <si>
    <t>NTRK3 / TP53</t>
  </si>
  <si>
    <t>neuroendocrine</t>
  </si>
  <si>
    <t>other RTK</t>
  </si>
  <si>
    <t>other RTK/ tumor suppressor</t>
  </si>
  <si>
    <t>other RTK/ tumor suppressor /  switch histo</t>
  </si>
  <si>
    <t>EGFR L858R / TP53</t>
  </si>
  <si>
    <t>tumor suppressor</t>
  </si>
  <si>
    <t>EGFR L858R / EGFR non commun / SMADA 4</t>
  </si>
  <si>
    <t>EGFR L858R / EGFR non commun / STK 11</t>
  </si>
  <si>
    <t>EGFR DEL19 / TP53</t>
  </si>
  <si>
    <t>EGFR DEL19 / EGFR non commun</t>
  </si>
  <si>
    <t>ampli KIT</t>
  </si>
  <si>
    <t>ampli KIT / ampli MET</t>
  </si>
  <si>
    <t>EGFR non commun</t>
  </si>
  <si>
    <t>EGFR non commun / SMADA4</t>
  </si>
  <si>
    <t xml:space="preserve">EGFR L858R </t>
  </si>
  <si>
    <t>KRAS G12C/ TP53 / KEAP1</t>
  </si>
  <si>
    <t>KRAS G12C / STK11 / TP53</t>
  </si>
  <si>
    <t>KRAS G12C/ TP53</t>
  </si>
  <si>
    <t>EGFR L858R / TP53 / STK11</t>
  </si>
  <si>
    <t>other RTK / tumor suppressor</t>
  </si>
  <si>
    <t>KRAS G12C / STK11 / MET</t>
  </si>
  <si>
    <t>KRAS G12C / STK11 / KEAP1 / KRAS G12D / KRAS G13D / KRASG61H</t>
  </si>
  <si>
    <t>EGFR L858R / EGFR non commun / TP53</t>
  </si>
  <si>
    <t>EGFR DEL19 / TP53 *</t>
  </si>
  <si>
    <t>KRAS G12C / CDKN2A</t>
  </si>
  <si>
    <t>ampli KRAS</t>
  </si>
  <si>
    <t>KRAS G12C/ TP53 / TP53 / KEAP1</t>
  </si>
  <si>
    <t>KRAS G12C/ KRSA H95D/ TP53 / TP53 / KEAP1</t>
  </si>
  <si>
    <t>KRAS G12C / STK11</t>
  </si>
  <si>
    <t>KRAS G12C/ RB1/ TP53/ STK11</t>
  </si>
  <si>
    <t>KRAS G12C/KRAS G12V/ STK11</t>
  </si>
  <si>
    <t>EGFR L858R / TP53/ CDKN2A</t>
  </si>
  <si>
    <t>EGFR DEL19 / KIT</t>
  </si>
  <si>
    <t>KRAS G12C / KRAS G12V / PIK3CA / PIK3CA</t>
  </si>
  <si>
    <t>KRAS G12C / PIK3CA</t>
  </si>
  <si>
    <t>KRAS G12V / STK11</t>
  </si>
  <si>
    <t>KRAS G12C/ PIK3CA / TP53 / TP53</t>
  </si>
  <si>
    <t>PIK3CA / TP53</t>
  </si>
  <si>
    <t xml:space="preserve">simple </t>
  </si>
  <si>
    <t>non retrouvé</t>
  </si>
  <si>
    <t>EC</t>
  </si>
  <si>
    <t>3,4</t>
  </si>
  <si>
    <t xml:space="preserve">non retrouvé </t>
  </si>
  <si>
    <t xml:space="preserve"> complexe</t>
  </si>
  <si>
    <t>2308777</t>
  </si>
  <si>
    <t xml:space="preserve">KRAS G12V /TP 53/ STK11 </t>
  </si>
  <si>
    <t>statut TP53 (EC / NA / muté /non muté</t>
  </si>
  <si>
    <t>non muté</t>
  </si>
  <si>
    <t>muté</t>
  </si>
  <si>
    <t xml:space="preserve"> NA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</si>
  <si>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</si>
  <si>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Ligne traitement</t>
  </si>
  <si>
    <t>L5</t>
  </si>
  <si>
    <t>L2</t>
  </si>
  <si>
    <t>L3</t>
  </si>
  <si>
    <t>2201147</t>
  </si>
  <si>
    <t>2403673</t>
  </si>
  <si>
    <t>2405988</t>
  </si>
  <si>
    <t>2400046</t>
  </si>
  <si>
    <t>2407722</t>
  </si>
  <si>
    <t>2205344</t>
  </si>
  <si>
    <t>2305020</t>
  </si>
  <si>
    <t>2403535</t>
  </si>
  <si>
    <t>2302611</t>
  </si>
  <si>
    <t>2503074</t>
  </si>
  <si>
    <t xml:space="preserve">KEAP 1 </t>
  </si>
  <si>
    <t>2501572</t>
  </si>
  <si>
    <t>mediane</t>
  </si>
  <si>
    <t>Q1</t>
  </si>
  <si>
    <t>Q3</t>
  </si>
  <si>
    <t>65</t>
  </si>
  <si>
    <t>PFS</t>
  </si>
  <si>
    <t>H-score faible</t>
  </si>
  <si>
    <t>H-score élevé</t>
  </si>
  <si>
    <t>OS</t>
  </si>
  <si>
    <t>PFS_event</t>
  </si>
  <si>
    <t>1</t>
  </si>
  <si>
    <t>OS_event</t>
  </si>
  <si>
    <t>Hscore_nuc_group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</si>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</sst>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6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B05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E4008C"/>
      <name val="Calibri"/>
      <family val="2"/>
      <scheme val="minor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i/>
      <sz val="10"/>
      <color theme="1"/>
      <name val="Arial"/>
      <family val="2"/>
    </font>
    <font>
      <sz val="8"/>
      <color theme="1"/>
      <name val="Calibri"/>
      <family val="2"/>
      <scheme val="minor"/>
    </font>
    <font>
      <i/>
      <sz val="10"/>
      <color rgb="FF0000FF"/>
      <name val="Arial"/>
      <family val="2"/>
    </font>
    <font>
      <sz val="11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theme="9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sz val="10"/>
      <color theme="9"/>
      <name val="Arial"/>
      <family val="2"/>
    </font>
    <font>
      <b/>
      <sz val="11"/>
      <color theme="1"/>
      <name val="Arial"/>
      <family val="2"/>
    </font>
    <font>
      <i/>
      <sz val="11"/>
      <color rgb="FF0000FF"/>
      <name val="Calibri"/>
      <family val="2"/>
      <scheme val="minor"/>
    </font>
    <font>
      <i/>
      <sz val="9"/>
      <name val="Arial"/>
      <family val="2"/>
    </font>
    <font>
      <i/>
      <sz val="9"/>
      <color theme="1"/>
      <name val="Arial"/>
      <family val="2"/>
    </font>
    <font>
      <b/>
      <sz val="14"/>
      <color rgb="FFE4008C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CC0066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6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6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rgb="FFFF33CC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8A9B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lightUp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9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E4008C"/>
      </left>
      <right/>
      <top style="medium">
        <color rgb="FFE4008C"/>
      </top>
      <bottom/>
      <diagonal/>
    </border>
    <border>
      <left/>
      <right/>
      <top style="medium">
        <color rgb="FFE4008C"/>
      </top>
      <bottom/>
      <diagonal/>
    </border>
    <border>
      <left/>
      <right style="medium">
        <color rgb="FFE4008C"/>
      </right>
      <top style="medium">
        <color rgb="FFE4008C"/>
      </top>
      <bottom/>
      <diagonal/>
    </border>
    <border>
      <left style="medium">
        <color rgb="FFE4008C"/>
      </left>
      <right/>
      <top/>
      <bottom/>
      <diagonal/>
    </border>
    <border>
      <left/>
      <right style="medium">
        <color rgb="FFE4008C"/>
      </right>
      <top/>
      <bottom/>
      <diagonal/>
    </border>
    <border>
      <left style="medium">
        <color rgb="FFE4008C"/>
      </left>
      <right/>
      <top/>
      <bottom style="medium">
        <color rgb="FFE4008C"/>
      </bottom>
      <diagonal/>
    </border>
    <border>
      <left/>
      <right/>
      <top/>
      <bottom style="medium">
        <color rgb="FFE4008C"/>
      </bottom>
      <diagonal/>
    </border>
    <border>
      <left/>
      <right style="medium">
        <color rgb="FFE4008C"/>
      </right>
      <top/>
      <bottom style="medium">
        <color rgb="FFE4008C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E4008C"/>
      </left>
      <right/>
      <top style="medium">
        <color rgb="FFE4008C"/>
      </top>
      <bottom style="medium">
        <color rgb="FFE4008C"/>
      </bottom>
      <diagonal/>
    </border>
    <border>
      <left/>
      <right/>
      <top style="medium">
        <color rgb="FFE4008C"/>
      </top>
      <bottom style="medium">
        <color rgb="FFE4008C"/>
      </bottom>
      <diagonal/>
    </border>
    <border>
      <left/>
      <right style="medium">
        <color rgb="FFE4008C"/>
      </right>
      <top style="medium">
        <color rgb="FFE4008C"/>
      </top>
      <bottom style="medium">
        <color rgb="FFE4008C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CC006A"/>
      </left>
      <right style="medium">
        <color rgb="FFCC006A"/>
      </right>
      <top/>
      <bottom style="thin">
        <color rgb="FFCC006A"/>
      </bottom>
      <diagonal/>
    </border>
    <border>
      <left style="medium">
        <color rgb="FFCC006A"/>
      </left>
      <right style="medium">
        <color rgb="FFCC006A"/>
      </right>
      <top style="thin">
        <color rgb="FFCC006A"/>
      </top>
      <bottom style="thin">
        <color rgb="FFCC006A"/>
      </bottom>
      <diagonal/>
    </border>
    <border>
      <left/>
      <right style="medium">
        <color rgb="FFCC006A"/>
      </right>
      <top style="thin">
        <color rgb="FFCC006A"/>
      </top>
      <bottom style="thin">
        <color rgb="FFCC006A"/>
      </bottom>
      <diagonal/>
    </border>
    <border>
      <left style="medium">
        <color rgb="FFCC006A"/>
      </left>
      <right style="medium">
        <color rgb="FFCC006A"/>
      </right>
      <top style="thin">
        <color rgb="FFCC006A"/>
      </top>
      <bottom style="medium">
        <color indexed="64"/>
      </bottom>
      <diagonal/>
    </border>
    <border>
      <left/>
      <right style="medium">
        <color rgb="FFCC006A"/>
      </right>
      <top style="thin">
        <color rgb="FFCC006A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rgb="FFCC006A"/>
      </left>
      <right style="medium">
        <color rgb="FFCC006A"/>
      </right>
      <top style="thin">
        <color rgb="FFCC006A"/>
      </top>
      <bottom/>
      <diagonal/>
    </border>
    <border>
      <left/>
      <right style="medium">
        <color rgb="FFCC006A"/>
      </right>
      <top style="thin">
        <color rgb="FFCC006A"/>
      </top>
      <bottom/>
      <diagonal/>
    </border>
    <border>
      <left style="medium">
        <color rgb="FFCC006A"/>
      </left>
      <right style="medium">
        <color rgb="FFCC006A"/>
      </right>
      <top/>
      <bottom style="medium">
        <color rgb="FFCC006A"/>
      </bottom>
      <diagonal/>
    </border>
    <border>
      <left/>
      <right style="medium">
        <color rgb="FFCC006A"/>
      </right>
      <top/>
      <bottom style="medium">
        <color rgb="FFCC006A"/>
      </bottom>
      <diagonal/>
    </border>
  </borders>
  <cellStyleXfs count="4">
    <xf numFmtId="0" fontId="0" fillId="0" borderId="0"/>
    <xf numFmtId="0" fontId="1" fillId="0" borderId="0"/>
    <xf numFmtId="0" fontId="21" fillId="0" borderId="0"/>
    <xf numFmtId="0" fontId="21" fillId="0" borderId="0"/>
  </cellStyleXfs>
  <cellXfs count="518">
    <xf numFmtId="0" fontId="0" fillId="0" borderId="0" xfId="0"/>
    <xf numFmtId="0" fontId="2" fillId="0" borderId="0" xfId="0" applyFont="1"/>
    <xf numFmtId="1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/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2" fillId="0" borderId="0" xfId="0" applyFont="1"/>
    <xf numFmtId="0" fontId="8" fillId="0" borderId="0" xfId="0" applyFont="1"/>
    <xf numFmtId="0" fontId="3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16" fontId="7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0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13" fillId="0" borderId="0" xfId="0" applyFont="1"/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7" fillId="4" borderId="17" xfId="2" applyFont="1" applyFill="1" applyBorder="1" applyAlignment="1">
      <alignment vertical="center" wrapText="1"/>
    </xf>
    <xf numFmtId="0" fontId="21" fillId="0" borderId="0" xfId="2"/>
    <xf numFmtId="0" fontId="27" fillId="0" borderId="17" xfId="2" applyFont="1" applyBorder="1" applyAlignment="1">
      <alignment horizontal="center" vertical="center" wrapText="1"/>
    </xf>
    <xf numFmtId="0" fontId="27" fillId="0" borderId="2" xfId="2" applyFont="1" applyBorder="1" applyAlignment="1">
      <alignment horizontal="center" vertical="center" wrapText="1"/>
    </xf>
    <xf numFmtId="0" fontId="28" fillId="0" borderId="2" xfId="2" applyFont="1" applyBorder="1" applyAlignment="1">
      <alignment horizontal="center" vertical="center" wrapText="1"/>
    </xf>
    <xf numFmtId="0" fontId="27" fillId="4" borderId="1" xfId="2" applyFont="1" applyFill="1" applyBorder="1" applyAlignment="1">
      <alignment vertical="center" wrapText="1"/>
    </xf>
    <xf numFmtId="0" fontId="27" fillId="4" borderId="3" xfId="2" applyFont="1" applyFill="1" applyBorder="1" applyAlignment="1">
      <alignment vertical="center" wrapText="1"/>
    </xf>
    <xf numFmtId="49" fontId="27" fillId="0" borderId="17" xfId="2" applyNumberFormat="1" applyFont="1" applyBorder="1" applyAlignment="1">
      <alignment horizontal="center" vertical="center" wrapText="1"/>
    </xf>
    <xf numFmtId="0" fontId="29" fillId="0" borderId="0" xfId="0" applyFont="1"/>
    <xf numFmtId="0" fontId="28" fillId="0" borderId="2" xfId="2" applyFont="1" applyBorder="1" applyAlignment="1">
      <alignment horizontal="justify" vertical="center" wrapText="1"/>
    </xf>
    <xf numFmtId="0" fontId="28" fillId="0" borderId="17" xfId="2" applyFont="1" applyBorder="1" applyAlignment="1">
      <alignment vertical="center" wrapText="1"/>
    </xf>
    <xf numFmtId="0" fontId="28" fillId="0" borderId="3" xfId="2" applyFont="1" applyBorder="1" applyAlignment="1">
      <alignment vertical="center" wrapText="1"/>
    </xf>
    <xf numFmtId="0" fontId="28" fillId="0" borderId="2" xfId="2" applyFont="1" applyBorder="1" applyAlignment="1">
      <alignment vertical="center" wrapText="1"/>
    </xf>
    <xf numFmtId="0" fontId="27" fillId="4" borderId="9" xfId="2" applyFont="1" applyFill="1" applyBorder="1" applyAlignment="1">
      <alignment vertical="center" wrapText="1"/>
    </xf>
    <xf numFmtId="0" fontId="32" fillId="0" borderId="2" xfId="0" applyFont="1" applyBorder="1" applyAlignment="1">
      <alignment horizontal="center"/>
    </xf>
    <xf numFmtId="0" fontId="4" fillId="3" borderId="19" xfId="1" applyFont="1" applyFill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4" fontId="31" fillId="0" borderId="16" xfId="0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 wrapText="1"/>
    </xf>
    <xf numFmtId="0" fontId="25" fillId="0" borderId="6" xfId="0" applyFont="1" applyBorder="1"/>
    <xf numFmtId="0" fontId="25" fillId="0" borderId="2" xfId="0" applyFont="1" applyBorder="1"/>
    <xf numFmtId="0" fontId="25" fillId="0" borderId="7" xfId="0" applyFont="1" applyBorder="1"/>
    <xf numFmtId="0" fontId="25" fillId="0" borderId="2" xfId="0" applyFont="1" applyBorder="1" applyAlignment="1">
      <alignment vertical="center"/>
    </xf>
    <xf numFmtId="0" fontId="4" fillId="3" borderId="21" xfId="0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35" xfId="0" applyFont="1" applyBorder="1" applyAlignment="1">
      <alignment vertical="center"/>
    </xf>
    <xf numFmtId="0" fontId="24" fillId="0" borderId="15" xfId="0" applyFont="1" applyBorder="1"/>
    <xf numFmtId="0" fontId="24" fillId="0" borderId="7" xfId="0" applyFont="1" applyBorder="1"/>
    <xf numFmtId="0" fontId="24" fillId="0" borderId="35" xfId="0" applyFont="1" applyBorder="1"/>
    <xf numFmtId="0" fontId="25" fillId="0" borderId="32" xfId="0" applyFont="1" applyBorder="1"/>
    <xf numFmtId="0" fontId="31" fillId="0" borderId="39" xfId="0" applyFont="1" applyBorder="1" applyAlignment="1">
      <alignment horizontal="center"/>
    </xf>
    <xf numFmtId="0" fontId="10" fillId="0" borderId="30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4" xfId="0" applyFont="1" applyBorder="1" applyAlignment="1">
      <alignment vertical="center"/>
    </xf>
    <xf numFmtId="0" fontId="24" fillId="0" borderId="30" xfId="0" applyFont="1" applyBorder="1"/>
    <xf numFmtId="0" fontId="24" fillId="0" borderId="2" xfId="0" applyFont="1" applyBorder="1"/>
    <xf numFmtId="0" fontId="24" fillId="0" borderId="34" xfId="0" applyFont="1" applyBorder="1"/>
    <xf numFmtId="0" fontId="25" fillId="0" borderId="17" xfId="0" applyFont="1" applyBorder="1"/>
    <xf numFmtId="0" fontId="25" fillId="0" borderId="38" xfId="0" applyFont="1" applyBorder="1" applyAlignment="1">
      <alignment horizontal="center"/>
    </xf>
    <xf numFmtId="0" fontId="31" fillId="0" borderId="38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/>
    </xf>
    <xf numFmtId="0" fontId="32" fillId="0" borderId="38" xfId="0" applyFont="1" applyBorder="1" applyAlignment="1">
      <alignment horizontal="center"/>
    </xf>
    <xf numFmtId="0" fontId="32" fillId="0" borderId="30" xfId="0" applyFont="1" applyBorder="1" applyAlignment="1">
      <alignment horizontal="center"/>
    </xf>
    <xf numFmtId="0" fontId="25" fillId="0" borderId="34" xfId="0" applyFont="1" applyBorder="1"/>
    <xf numFmtId="0" fontId="25" fillId="0" borderId="30" xfId="0" applyFont="1" applyBorder="1"/>
    <xf numFmtId="0" fontId="32" fillId="0" borderId="34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25" fillId="0" borderId="36" xfId="0" applyFont="1" applyBorder="1"/>
    <xf numFmtId="0" fontId="25" fillId="0" borderId="14" xfId="0" applyFont="1" applyBorder="1"/>
    <xf numFmtId="0" fontId="31" fillId="0" borderId="6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4" fillId="3" borderId="40" xfId="1" applyFont="1" applyFill="1" applyBorder="1" applyAlignment="1">
      <alignment horizontal="center" vertical="center" wrapText="1"/>
    </xf>
    <xf numFmtId="0" fontId="4" fillId="3" borderId="26" xfId="1" applyFont="1" applyFill="1" applyBorder="1" applyAlignment="1">
      <alignment horizontal="center" vertical="center" wrapText="1"/>
    </xf>
    <xf numFmtId="0" fontId="24" fillId="3" borderId="24" xfId="1" applyFont="1" applyFill="1" applyBorder="1" applyAlignment="1">
      <alignment horizontal="center" vertical="center" wrapText="1"/>
    </xf>
    <xf numFmtId="0" fontId="24" fillId="3" borderId="40" xfId="0" applyFont="1" applyFill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center" wrapText="1"/>
    </xf>
    <xf numFmtId="0" fontId="0" fillId="0" borderId="43" xfId="0" applyBorder="1" applyAlignment="1">
      <alignment vertical="top"/>
    </xf>
    <xf numFmtId="0" fontId="0" fillId="0" borderId="42" xfId="0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28" xfId="0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0" xfId="0" applyAlignment="1">
      <alignment vertical="top"/>
    </xf>
    <xf numFmtId="0" fontId="38" fillId="0" borderId="8" xfId="0" applyFont="1" applyBorder="1" applyAlignment="1">
      <alignment horizontal="left" vertical="center" wrapText="1"/>
    </xf>
    <xf numFmtId="14" fontId="36" fillId="0" borderId="27" xfId="0" applyNumberFormat="1" applyFont="1" applyBorder="1" applyAlignment="1">
      <alignment horizontal="center" vertical="center"/>
    </xf>
    <xf numFmtId="0" fontId="40" fillId="3" borderId="18" xfId="1" applyFont="1" applyFill="1" applyBorder="1" applyAlignment="1">
      <alignment horizontal="center" vertical="center"/>
    </xf>
    <xf numFmtId="0" fontId="40" fillId="3" borderId="19" xfId="1" applyFont="1" applyFill="1" applyBorder="1" applyAlignment="1">
      <alignment horizontal="center" vertical="center"/>
    </xf>
    <xf numFmtId="0" fontId="41" fillId="3" borderId="20" xfId="1" applyFont="1" applyFill="1" applyBorder="1" applyAlignment="1">
      <alignment horizontal="center" vertical="center" wrapText="1"/>
    </xf>
    <xf numFmtId="0" fontId="42" fillId="3" borderId="19" xfId="1" applyFont="1" applyFill="1" applyBorder="1" applyAlignment="1">
      <alignment horizontal="center" vertical="center" wrapText="1"/>
    </xf>
    <xf numFmtId="0" fontId="41" fillId="3" borderId="41" xfId="1" applyFont="1" applyFill="1" applyBorder="1" applyAlignment="1">
      <alignment horizontal="center" vertical="center" wrapText="1"/>
    </xf>
    <xf numFmtId="0" fontId="41" fillId="3" borderId="26" xfId="1" applyFont="1" applyFill="1" applyBorder="1" applyAlignment="1">
      <alignment horizontal="center" vertical="center" wrapText="1"/>
    </xf>
    <xf numFmtId="0" fontId="43" fillId="3" borderId="19" xfId="0" applyFont="1" applyFill="1" applyBorder="1" applyAlignment="1">
      <alignment horizontal="center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45" fillId="2" borderId="16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 wrapText="1"/>
    </xf>
    <xf numFmtId="14" fontId="25" fillId="0" borderId="0" xfId="0" applyNumberFormat="1" applyFont="1" applyAlignment="1">
      <alignment horizontal="center" vertical="center"/>
    </xf>
    <xf numFmtId="0" fontId="29" fillId="0" borderId="0" xfId="0" applyFont="1" applyAlignment="1">
      <alignment vertical="center"/>
    </xf>
    <xf numFmtId="0" fontId="0" fillId="0" borderId="24" xfId="0" applyBorder="1" applyAlignment="1">
      <alignment vertical="center"/>
    </xf>
    <xf numFmtId="0" fontId="0" fillId="0" borderId="43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28" xfId="0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25" xfId="0" applyBorder="1" applyAlignment="1">
      <alignment vertical="center"/>
    </xf>
    <xf numFmtId="0" fontId="0" fillId="0" borderId="42" xfId="0" applyBorder="1" applyAlignment="1">
      <alignment vertical="center"/>
    </xf>
    <xf numFmtId="0" fontId="31" fillId="0" borderId="0" xfId="0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0" fontId="0" fillId="3" borderId="4" xfId="0" applyFill="1" applyBorder="1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0" fontId="25" fillId="0" borderId="16" xfId="0" applyFont="1" applyBorder="1" applyAlignment="1">
      <alignment vertical="center"/>
    </xf>
    <xf numFmtId="14" fontId="25" fillId="0" borderId="16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0" fontId="31" fillId="0" borderId="36" xfId="0" applyFont="1" applyBorder="1" applyAlignment="1">
      <alignment vertical="center"/>
    </xf>
    <xf numFmtId="0" fontId="31" fillId="0" borderId="6" xfId="0" applyFont="1" applyBorder="1" applyAlignment="1">
      <alignment vertical="center"/>
    </xf>
    <xf numFmtId="49" fontId="25" fillId="0" borderId="6" xfId="0" applyNumberFormat="1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0" fontId="31" fillId="0" borderId="34" xfId="0" applyFont="1" applyBorder="1" applyAlignment="1">
      <alignment vertical="center"/>
    </xf>
    <xf numFmtId="0" fontId="31" fillId="0" borderId="2" xfId="0" applyFont="1" applyBorder="1" applyAlignment="1">
      <alignment vertical="center"/>
    </xf>
    <xf numFmtId="49" fontId="25" fillId="0" borderId="2" xfId="0" applyNumberFormat="1" applyFont="1" applyBorder="1" applyAlignment="1">
      <alignment vertical="center"/>
    </xf>
    <xf numFmtId="0" fontId="25" fillId="0" borderId="30" xfId="0" applyFont="1" applyBorder="1" applyAlignment="1">
      <alignment vertical="center"/>
    </xf>
    <xf numFmtId="0" fontId="31" fillId="0" borderId="35" xfId="0" applyFont="1" applyBorder="1" applyAlignment="1">
      <alignment vertical="center"/>
    </xf>
    <xf numFmtId="0" fontId="31" fillId="0" borderId="7" xfId="0" applyFont="1" applyBorder="1" applyAlignment="1">
      <alignment vertical="center"/>
    </xf>
    <xf numFmtId="49" fontId="25" fillId="0" borderId="7" xfId="0" applyNumberFormat="1" applyFont="1" applyBorder="1" applyAlignment="1">
      <alignment vertical="center"/>
    </xf>
    <xf numFmtId="0" fontId="25" fillId="0" borderId="15" xfId="0" applyFont="1" applyBorder="1" applyAlignment="1">
      <alignment vertical="center"/>
    </xf>
    <xf numFmtId="49" fontId="25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0" fillId="0" borderId="44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8" xfId="0" applyBorder="1"/>
    <xf numFmtId="0" fontId="0" fillId="0" borderId="43" xfId="0" applyBorder="1"/>
    <xf numFmtId="14" fontId="0" fillId="7" borderId="34" xfId="0" applyNumberFormat="1" applyFill="1" applyBorder="1" applyAlignment="1">
      <alignment horizontal="center" vertical="center"/>
    </xf>
    <xf numFmtId="14" fontId="0" fillId="7" borderId="30" xfId="0" applyNumberFormat="1" applyFill="1" applyBorder="1" applyAlignment="1">
      <alignment horizontal="center" vertical="center"/>
    </xf>
    <xf numFmtId="14" fontId="21" fillId="7" borderId="30" xfId="0" applyNumberFormat="1" applyFont="1" applyFill="1" applyBorder="1" applyAlignment="1">
      <alignment horizontal="center" vertical="center"/>
    </xf>
    <xf numFmtId="14" fontId="21" fillId="7" borderId="34" xfId="0" applyNumberFormat="1" applyFont="1" applyFill="1" applyBorder="1" applyAlignment="1">
      <alignment horizontal="center" vertical="center"/>
    </xf>
    <xf numFmtId="0" fontId="15" fillId="7" borderId="34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49" fontId="21" fillId="7" borderId="2" xfId="0" applyNumberFormat="1" applyFont="1" applyFill="1" applyBorder="1" applyAlignment="1">
      <alignment horizontal="center" vertical="center"/>
    </xf>
    <xf numFmtId="49" fontId="20" fillId="7" borderId="34" xfId="0" applyNumberFormat="1" applyFont="1" applyFill="1" applyBorder="1" applyAlignment="1">
      <alignment horizontal="center" vertical="center"/>
    </xf>
    <xf numFmtId="49" fontId="20" fillId="7" borderId="30" xfId="0" applyNumberFormat="1" applyFont="1" applyFill="1" applyBorder="1" applyAlignment="1">
      <alignment horizontal="center" vertical="center"/>
    </xf>
    <xf numFmtId="14" fontId="20" fillId="7" borderId="34" xfId="0" applyNumberFormat="1" applyFont="1" applyFill="1" applyBorder="1" applyAlignment="1">
      <alignment horizontal="center" vertical="center"/>
    </xf>
    <xf numFmtId="0" fontId="0" fillId="0" borderId="74" xfId="0" applyBorder="1"/>
    <xf numFmtId="0" fontId="15" fillId="7" borderId="33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49" fontId="20" fillId="7" borderId="33" xfId="0" applyNumberFormat="1" applyFont="1" applyFill="1" applyBorder="1" applyAlignment="1">
      <alignment horizontal="center" vertical="center"/>
    </xf>
    <xf numFmtId="14" fontId="21" fillId="7" borderId="72" xfId="0" applyNumberFormat="1" applyFont="1" applyFill="1" applyBorder="1" applyAlignment="1">
      <alignment horizontal="center" vertical="center"/>
    </xf>
    <xf numFmtId="14" fontId="21" fillId="7" borderId="33" xfId="0" applyNumberFormat="1" applyFont="1" applyFill="1" applyBorder="1" applyAlignment="1">
      <alignment horizontal="center" vertical="center"/>
    </xf>
    <xf numFmtId="0" fontId="5" fillId="0" borderId="5" xfId="0" applyFont="1" applyBorder="1"/>
    <xf numFmtId="0" fontId="6" fillId="3" borderId="18" xfId="0" applyFont="1" applyFill="1" applyBorder="1" applyAlignment="1">
      <alignment vertical="center" wrapText="1"/>
    </xf>
    <xf numFmtId="0" fontId="6" fillId="3" borderId="20" xfId="0" applyFont="1" applyFill="1" applyBorder="1" applyAlignment="1">
      <alignment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14" fontId="21" fillId="7" borderId="3" xfId="0" applyNumberFormat="1" applyFont="1" applyFill="1" applyBorder="1" applyAlignment="1">
      <alignment horizontal="center" vertical="center"/>
    </xf>
    <xf numFmtId="49" fontId="20" fillId="7" borderId="72" xfId="0" applyNumberFormat="1" applyFont="1" applyFill="1" applyBorder="1" applyAlignment="1">
      <alignment horizontal="center" vertical="center"/>
    </xf>
    <xf numFmtId="14" fontId="20" fillId="7" borderId="30" xfId="0" applyNumberFormat="1" applyFont="1" applyFill="1" applyBorder="1" applyAlignment="1">
      <alignment horizontal="center" vertical="center"/>
    </xf>
    <xf numFmtId="0" fontId="5" fillId="0" borderId="73" xfId="0" applyFont="1" applyBorder="1"/>
    <xf numFmtId="0" fontId="6" fillId="3" borderId="45" xfId="0" applyFont="1" applyFill="1" applyBorder="1" applyAlignment="1">
      <alignment horizontal="center" vertical="center" wrapText="1"/>
    </xf>
    <xf numFmtId="14" fontId="21" fillId="5" borderId="34" xfId="0" applyNumberFormat="1" applyFont="1" applyFill="1" applyBorder="1" applyAlignment="1">
      <alignment horizontal="center" vertical="center"/>
    </xf>
    <xf numFmtId="14" fontId="0" fillId="5" borderId="30" xfId="0" applyNumberFormat="1" applyFill="1" applyBorder="1" applyAlignment="1">
      <alignment horizontal="center" vertical="center"/>
    </xf>
    <xf numFmtId="14" fontId="0" fillId="5" borderId="34" xfId="0" applyNumberFormat="1" applyFill="1" applyBorder="1" applyAlignment="1">
      <alignment horizontal="center" vertical="center"/>
    </xf>
    <xf numFmtId="14" fontId="3" fillId="7" borderId="34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14" fontId="21" fillId="0" borderId="34" xfId="0" applyNumberFormat="1" applyFont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0" fontId="60" fillId="8" borderId="43" xfId="0" applyFont="1" applyFill="1" applyBorder="1" applyAlignment="1">
      <alignment horizontal="center" vertical="center"/>
    </xf>
    <xf numFmtId="0" fontId="60" fillId="8" borderId="4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0" fillId="0" borderId="2" xfId="0" applyBorder="1"/>
    <xf numFmtId="0" fontId="10" fillId="0" borderId="76" xfId="0" applyFont="1" applyBorder="1" applyAlignment="1">
      <alignment horizontal="center"/>
    </xf>
    <xf numFmtId="0" fontId="15" fillId="7" borderId="76" xfId="0" applyFont="1" applyFill="1" applyBorder="1" applyAlignment="1">
      <alignment horizontal="center" vertical="center"/>
    </xf>
    <xf numFmtId="0" fontId="0" fillId="0" borderId="76" xfId="0" applyBorder="1"/>
    <xf numFmtId="49" fontId="57" fillId="7" borderId="12" xfId="0" applyNumberFormat="1" applyFont="1" applyFill="1" applyBorder="1" applyAlignment="1">
      <alignment horizontal="center" vertical="center"/>
    </xf>
    <xf numFmtId="49" fontId="57" fillId="7" borderId="17" xfId="0" applyNumberFormat="1" applyFont="1" applyFill="1" applyBorder="1" applyAlignment="1">
      <alignment horizontal="center" vertical="center"/>
    </xf>
    <xf numFmtId="49" fontId="57" fillId="7" borderId="9" xfId="0" applyNumberFormat="1" applyFont="1" applyFill="1" applyBorder="1" applyAlignment="1">
      <alignment horizontal="center" vertical="center"/>
    </xf>
    <xf numFmtId="49" fontId="53" fillId="7" borderId="77" xfId="0" applyNumberFormat="1" applyFont="1" applyFill="1" applyBorder="1" applyAlignment="1">
      <alignment horizontal="center" vertical="center"/>
    </xf>
    <xf numFmtId="49" fontId="53" fillId="7" borderId="78" xfId="0" applyNumberFormat="1" applyFont="1" applyFill="1" applyBorder="1" applyAlignment="1">
      <alignment horizontal="center" vertical="center"/>
    </xf>
    <xf numFmtId="49" fontId="58" fillId="7" borderId="78" xfId="0" applyNumberFormat="1" applyFont="1" applyFill="1" applyBorder="1" applyAlignment="1">
      <alignment horizontal="center" vertical="center"/>
    </xf>
    <xf numFmtId="49" fontId="58" fillId="7" borderId="79" xfId="0" applyNumberFormat="1" applyFont="1" applyFill="1" applyBorder="1" applyAlignment="1">
      <alignment horizontal="center" vertical="center"/>
    </xf>
    <xf numFmtId="49" fontId="20" fillId="7" borderId="77" xfId="0" applyNumberFormat="1" applyFont="1" applyFill="1" applyBorder="1" applyAlignment="1">
      <alignment horizontal="center" vertical="center"/>
    </xf>
    <xf numFmtId="49" fontId="20" fillId="7" borderId="78" xfId="0" applyNumberFormat="1" applyFont="1" applyFill="1" applyBorder="1" applyAlignment="1">
      <alignment horizontal="center" vertical="center"/>
    </xf>
    <xf numFmtId="14" fontId="20" fillId="7" borderId="78" xfId="0" applyNumberFormat="1" applyFont="1" applyFill="1" applyBorder="1" applyAlignment="1">
      <alignment horizontal="center" vertical="center"/>
    </xf>
    <xf numFmtId="14" fontId="20" fillId="7" borderId="79" xfId="0" applyNumberFormat="1" applyFont="1" applyFill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14" fontId="20" fillId="0" borderId="34" xfId="0" applyNumberFormat="1" applyFont="1" applyBorder="1" applyAlignment="1">
      <alignment horizontal="center" vertical="center"/>
    </xf>
    <xf numFmtId="49" fontId="20" fillId="0" borderId="34" xfId="0" applyNumberFormat="1" applyFont="1" applyBorder="1" applyAlignment="1">
      <alignment horizontal="center" vertical="center"/>
    </xf>
    <xf numFmtId="14" fontId="3" fillId="0" borderId="34" xfId="0" applyNumberFormat="1" applyFont="1" applyBorder="1" applyAlignment="1">
      <alignment horizontal="center" vertical="center"/>
    </xf>
    <xf numFmtId="0" fontId="59" fillId="8" borderId="69" xfId="0" applyFont="1" applyFill="1" applyBorder="1" applyAlignment="1">
      <alignment horizontal="center" vertical="center" wrapText="1"/>
    </xf>
    <xf numFmtId="0" fontId="59" fillId="8" borderId="68" xfId="0" applyFont="1" applyFill="1" applyBorder="1" applyAlignment="1">
      <alignment horizontal="center" vertical="center" wrapText="1"/>
    </xf>
    <xf numFmtId="0" fontId="59" fillId="8" borderId="75" xfId="0" applyFont="1" applyFill="1" applyBorder="1" applyAlignment="1">
      <alignment horizontal="center" vertical="center" wrapText="1"/>
    </xf>
    <xf numFmtId="49" fontId="20" fillId="0" borderId="33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9" fontId="57" fillId="0" borderId="9" xfId="0" applyNumberFormat="1" applyFont="1" applyBorder="1" applyAlignment="1">
      <alignment horizontal="center" vertical="center"/>
    </xf>
    <xf numFmtId="49" fontId="53" fillId="0" borderId="78" xfId="0" applyNumberFormat="1" applyFont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/>
    </xf>
    <xf numFmtId="49" fontId="58" fillId="0" borderId="78" xfId="0" applyNumberFormat="1" applyFont="1" applyBorder="1" applyAlignment="1">
      <alignment horizontal="center" vertical="center"/>
    </xf>
    <xf numFmtId="49" fontId="58" fillId="0" borderId="79" xfId="0" applyNumberFormat="1" applyFont="1" applyBorder="1" applyAlignment="1">
      <alignment horizontal="center" vertical="center"/>
    </xf>
    <xf numFmtId="14" fontId="0" fillId="0" borderId="78" xfId="0" applyNumberFormat="1" applyBorder="1" applyAlignment="1">
      <alignment horizontal="center"/>
    </xf>
    <xf numFmtId="0" fontId="15" fillId="0" borderId="76" xfId="0" applyFont="1" applyBorder="1" applyAlignment="1">
      <alignment horizontal="center" vertical="center"/>
    </xf>
    <xf numFmtId="49" fontId="21" fillId="0" borderId="76" xfId="0" applyNumberFormat="1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14" fontId="21" fillId="0" borderId="3" xfId="0" applyNumberFormat="1" applyFont="1" applyBorder="1" applyAlignment="1">
      <alignment horizontal="center" vertical="center"/>
    </xf>
    <xf numFmtId="14" fontId="20" fillId="7" borderId="3" xfId="0" applyNumberFormat="1" applyFont="1" applyFill="1" applyBorder="1" applyAlignment="1">
      <alignment horizontal="center" vertical="center"/>
    </xf>
    <xf numFmtId="14" fontId="62" fillId="7" borderId="30" xfId="0" applyNumberFormat="1" applyFont="1" applyFill="1" applyBorder="1" applyAlignment="1">
      <alignment horizontal="center" vertical="center"/>
    </xf>
    <xf numFmtId="14" fontId="21" fillId="0" borderId="30" xfId="0" applyNumberFormat="1" applyFon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21" fillId="7" borderId="17" xfId="0" applyNumberFormat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14" fontId="0" fillId="5" borderId="17" xfId="0" applyNumberFormat="1" applyFill="1" applyBorder="1" applyAlignment="1">
      <alignment horizontal="center" vertical="center"/>
    </xf>
    <xf numFmtId="14" fontId="0" fillId="0" borderId="34" xfId="0" applyNumberFormat="1" applyBorder="1" applyAlignment="1">
      <alignment horizontal="center"/>
    </xf>
    <xf numFmtId="49" fontId="54" fillId="9" borderId="72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60" fillId="8" borderId="73" xfId="0" applyFont="1" applyFill="1" applyBorder="1" applyAlignment="1">
      <alignment horizontal="center" vertical="center"/>
    </xf>
    <xf numFmtId="0" fontId="56" fillId="3" borderId="70" xfId="0" applyFont="1" applyFill="1" applyBorder="1" applyAlignment="1">
      <alignment horizontal="center" vertical="center" wrapText="1"/>
    </xf>
    <xf numFmtId="0" fontId="56" fillId="3" borderId="71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1" xfId="0" applyBorder="1" applyAlignment="1">
      <alignment horizontal="center"/>
    </xf>
    <xf numFmtId="49" fontId="54" fillId="9" borderId="12" xfId="0" applyNumberFormat="1" applyFont="1" applyFill="1" applyBorder="1" applyAlignment="1">
      <alignment horizontal="center" vertical="center"/>
    </xf>
    <xf numFmtId="49" fontId="54" fillId="9" borderId="30" xfId="0" applyNumberFormat="1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4" fontId="0" fillId="7" borderId="84" xfId="0" applyNumberFormat="1" applyFill="1" applyBorder="1" applyAlignment="1">
      <alignment horizontal="center" vertical="center"/>
    </xf>
    <xf numFmtId="14" fontId="0" fillId="5" borderId="84" xfId="0" applyNumberFormat="1" applyFill="1" applyBorder="1" applyAlignment="1">
      <alignment horizontal="center" vertical="center"/>
    </xf>
    <xf numFmtId="14" fontId="21" fillId="5" borderId="33" xfId="0" applyNumberFormat="1" applyFont="1" applyFill="1" applyBorder="1" applyAlignment="1">
      <alignment horizontal="center" vertical="center"/>
    </xf>
    <xf numFmtId="14" fontId="0" fillId="5" borderId="72" xfId="0" applyNumberFormat="1" applyFill="1" applyBorder="1" applyAlignment="1">
      <alignment horizontal="center" vertical="center"/>
    </xf>
    <xf numFmtId="0" fontId="0" fillId="0" borderId="68" xfId="0" applyBorder="1" applyAlignment="1">
      <alignment horizontal="center"/>
    </xf>
    <xf numFmtId="0" fontId="0" fillId="0" borderId="43" xfId="0" applyBorder="1" applyAlignment="1">
      <alignment horizontal="center"/>
    </xf>
    <xf numFmtId="14" fontId="0" fillId="0" borderId="17" xfId="0" applyNumberFormat="1" applyBorder="1" applyAlignment="1">
      <alignment horizontal="center" vertical="center"/>
    </xf>
    <xf numFmtId="49" fontId="20" fillId="7" borderId="12" xfId="0" applyNumberFormat="1" applyFont="1" applyFill="1" applyBorder="1" applyAlignment="1">
      <alignment horizontal="center" vertical="center"/>
    </xf>
    <xf numFmtId="49" fontId="20" fillId="7" borderId="17" xfId="0" applyNumberFormat="1" applyFont="1" applyFill="1" applyBorder="1" applyAlignment="1">
      <alignment horizontal="center" vertical="center"/>
    </xf>
    <xf numFmtId="14" fontId="0" fillId="7" borderId="17" xfId="0" applyNumberFormat="1" applyFill="1" applyBorder="1" applyAlignment="1">
      <alignment horizontal="center" vertical="center"/>
    </xf>
    <xf numFmtId="14" fontId="20" fillId="7" borderId="17" xfId="0" applyNumberFormat="1" applyFont="1" applyFill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0" fontId="0" fillId="0" borderId="81" xfId="0" applyBorder="1" applyAlignment="1">
      <alignment horizontal="center"/>
    </xf>
    <xf numFmtId="49" fontId="54" fillId="9" borderId="31" xfId="0" applyNumberFormat="1" applyFont="1" applyFill="1" applyBorder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4" fontId="21" fillId="0" borderId="38" xfId="0" applyNumberFormat="1" applyFont="1" applyBorder="1" applyAlignment="1">
      <alignment vertical="center"/>
    </xf>
    <xf numFmtId="14" fontId="21" fillId="0" borderId="1" xfId="0" applyNumberFormat="1" applyFont="1" applyBorder="1" applyAlignment="1">
      <alignment vertical="center"/>
    </xf>
    <xf numFmtId="0" fontId="6" fillId="3" borderId="21" xfId="0" applyFont="1" applyFill="1" applyBorder="1" applyAlignment="1">
      <alignment vertical="center" wrapText="1"/>
    </xf>
    <xf numFmtId="14" fontId="21" fillId="0" borderId="68" xfId="0" applyNumberFormat="1" applyFont="1" applyBorder="1" applyAlignment="1">
      <alignment horizontal="center" vertical="center"/>
    </xf>
    <xf numFmtId="14" fontId="21" fillId="0" borderId="43" xfId="0" applyNumberFormat="1" applyFont="1" applyBorder="1" applyAlignment="1">
      <alignment horizontal="center" vertical="center"/>
    </xf>
    <xf numFmtId="14" fontId="21" fillId="7" borderId="13" xfId="0" applyNumberFormat="1" applyFont="1" applyFill="1" applyBorder="1" applyAlignment="1">
      <alignment horizontal="center" vertical="center"/>
    </xf>
    <xf numFmtId="14" fontId="21" fillId="5" borderId="3" xfId="0" applyNumberFormat="1" applyFont="1" applyFill="1" applyBorder="1" applyAlignment="1">
      <alignment horizontal="center" vertical="center"/>
    </xf>
    <xf numFmtId="14" fontId="0" fillId="5" borderId="38" xfId="0" applyNumberFormat="1" applyFill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14" fontId="0" fillId="7" borderId="34" xfId="0" applyNumberFormat="1" applyFill="1" applyBorder="1" applyAlignment="1">
      <alignment horizontal="center"/>
    </xf>
    <xf numFmtId="14" fontId="21" fillId="0" borderId="83" xfId="0" applyNumberFormat="1" applyFont="1" applyBorder="1" applyAlignment="1">
      <alignment horizontal="center" vertical="center"/>
    </xf>
    <xf numFmtId="14" fontId="21" fillId="0" borderId="38" xfId="0" applyNumberFormat="1" applyFont="1" applyBorder="1" applyAlignment="1">
      <alignment horizontal="center" vertical="center"/>
    </xf>
    <xf numFmtId="14" fontId="21" fillId="0" borderId="81" xfId="0" applyNumberFormat="1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14" fontId="0" fillId="0" borderId="68" xfId="0" applyNumberFormat="1" applyBorder="1" applyAlignment="1">
      <alignment horizontal="center"/>
    </xf>
    <xf numFmtId="14" fontId="0" fillId="0" borderId="43" xfId="0" applyNumberFormat="1" applyBorder="1" applyAlignment="1">
      <alignment horizontal="center"/>
    </xf>
    <xf numFmtId="49" fontId="54" fillId="9" borderId="2" xfId="0" applyNumberFormat="1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62" fillId="7" borderId="17" xfId="0" applyNumberFormat="1" applyFont="1" applyFill="1" applyBorder="1" applyAlignment="1">
      <alignment horizontal="center" vertical="center"/>
    </xf>
    <xf numFmtId="49" fontId="20" fillId="7" borderId="13" xfId="0" applyNumberFormat="1" applyFont="1" applyFill="1" applyBorder="1" applyAlignment="1">
      <alignment horizontal="center" vertical="center"/>
    </xf>
    <xf numFmtId="14" fontId="21" fillId="7" borderId="12" xfId="0" applyNumberFormat="1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/>
    </xf>
    <xf numFmtId="14" fontId="21" fillId="5" borderId="13" xfId="0" applyNumberFormat="1" applyFont="1" applyFill="1" applyBorder="1" applyAlignment="1">
      <alignment horizontal="center" vertical="center"/>
    </xf>
    <xf numFmtId="14" fontId="21" fillId="5" borderId="11" xfId="0" applyNumberFormat="1" applyFont="1" applyFill="1" applyBorder="1" applyAlignment="1">
      <alignment horizontal="center" vertical="center"/>
    </xf>
    <xf numFmtId="14" fontId="0" fillId="0" borderId="28" xfId="0" applyNumberFormat="1" applyBorder="1" applyAlignment="1">
      <alignment horizontal="center"/>
    </xf>
    <xf numFmtId="14" fontId="21" fillId="0" borderId="13" xfId="0" applyNumberFormat="1" applyFont="1" applyBorder="1" applyAlignment="1">
      <alignment horizontal="center" vertical="center"/>
    </xf>
    <xf numFmtId="14" fontId="0" fillId="7" borderId="72" xfId="0" applyNumberFormat="1" applyFill="1" applyBorder="1" applyAlignment="1">
      <alignment horizontal="center" vertical="center"/>
    </xf>
    <xf numFmtId="14" fontId="0" fillId="7" borderId="12" xfId="0" applyNumberFormat="1" applyFill="1" applyBorder="1" applyAlignment="1">
      <alignment horizontal="center" vertical="center"/>
    </xf>
    <xf numFmtId="14" fontId="21" fillId="0" borderId="33" xfId="0" applyNumberFormat="1" applyFont="1" applyBorder="1" applyAlignment="1">
      <alignment horizontal="center" vertical="center"/>
    </xf>
    <xf numFmtId="49" fontId="54" fillId="9" borderId="17" xfId="0" applyNumberFormat="1" applyFont="1" applyFill="1" applyBorder="1" applyAlignment="1">
      <alignment horizontal="center" vertical="center"/>
    </xf>
    <xf numFmtId="14" fontId="21" fillId="0" borderId="82" xfId="0" applyNumberFormat="1" applyFont="1" applyBorder="1" applyAlignment="1">
      <alignment horizontal="center" vertical="center"/>
    </xf>
    <xf numFmtId="14" fontId="3" fillId="5" borderId="34" xfId="0" applyNumberFormat="1" applyFont="1" applyFill="1" applyBorder="1" applyAlignment="1">
      <alignment horizontal="center" vertical="center"/>
    </xf>
    <xf numFmtId="14" fontId="3" fillId="5" borderId="3" xfId="0" applyNumberFormat="1" applyFont="1" applyFill="1" applyBorder="1" applyAlignment="1">
      <alignment horizontal="center" vertical="center"/>
    </xf>
    <xf numFmtId="0" fontId="10" fillId="0" borderId="68" xfId="0" applyFont="1" applyBorder="1"/>
    <xf numFmtId="14" fontId="21" fillId="0" borderId="83" xfId="0" applyNumberFormat="1" applyFont="1" applyBorder="1" applyAlignment="1">
      <alignment vertical="center"/>
    </xf>
    <xf numFmtId="49" fontId="20" fillId="0" borderId="17" xfId="0" applyNumberFormat="1" applyFont="1" applyBorder="1" applyAlignment="1">
      <alignment horizontal="center" vertical="center"/>
    </xf>
    <xf numFmtId="14" fontId="21" fillId="0" borderId="82" xfId="0" applyNumberFormat="1" applyFont="1" applyBorder="1" applyAlignment="1">
      <alignment vertical="center"/>
    </xf>
    <xf numFmtId="14" fontId="21" fillId="0" borderId="85" xfId="0" applyNumberFormat="1" applyFont="1" applyBorder="1" applyAlignment="1">
      <alignment vertical="center"/>
    </xf>
    <xf numFmtId="0" fontId="64" fillId="3" borderId="70" xfId="0" applyFont="1" applyFill="1" applyBorder="1" applyAlignment="1">
      <alignment horizontal="center" vertical="center" wrapText="1"/>
    </xf>
    <xf numFmtId="0" fontId="20" fillId="7" borderId="78" xfId="0" applyFont="1" applyFill="1" applyBorder="1" applyAlignment="1">
      <alignment horizontal="center" vertical="center"/>
    </xf>
    <xf numFmtId="0" fontId="20" fillId="7" borderId="79" xfId="0" applyFont="1" applyFill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20" fillId="0" borderId="79" xfId="0" applyFont="1" applyBorder="1" applyAlignment="1">
      <alignment horizontal="center" vertical="center"/>
    </xf>
    <xf numFmtId="49" fontId="0" fillId="0" borderId="74" xfId="0" applyNumberFormat="1" applyBorder="1"/>
    <xf numFmtId="49" fontId="20" fillId="0" borderId="79" xfId="0" applyNumberFormat="1" applyFont="1" applyBorder="1" applyAlignment="1">
      <alignment horizontal="center" vertical="center"/>
    </xf>
    <xf numFmtId="49" fontId="20" fillId="7" borderId="79" xfId="0" applyNumberFormat="1" applyFont="1" applyFill="1" applyBorder="1" applyAlignment="1">
      <alignment horizontal="center" vertical="center"/>
    </xf>
    <xf numFmtId="49" fontId="20" fillId="0" borderId="78" xfId="0" applyNumberFormat="1" applyFont="1" applyBorder="1" applyAlignment="1">
      <alignment horizontal="center" vertical="center"/>
    </xf>
    <xf numFmtId="0" fontId="65" fillId="3" borderId="71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66" fillId="3" borderId="71" xfId="0" applyFont="1" applyFill="1" applyBorder="1" applyAlignment="1">
      <alignment horizontal="center" vertical="center" wrapText="1"/>
    </xf>
    <xf numFmtId="0" fontId="15" fillId="0" borderId="86" xfId="0" applyFont="1" applyBorder="1" applyAlignment="1">
      <alignment horizontal="center" vertical="center"/>
    </xf>
    <xf numFmtId="49" fontId="15" fillId="7" borderId="78" xfId="0" applyNumberFormat="1" applyFont="1" applyFill="1" applyBorder="1" applyAlignment="1">
      <alignment horizontal="center" vertical="center"/>
    </xf>
    <xf numFmtId="49" fontId="15" fillId="7" borderId="79" xfId="0" applyNumberFormat="1" applyFont="1" applyFill="1" applyBorder="1" applyAlignment="1">
      <alignment horizontal="center" vertical="center"/>
    </xf>
    <xf numFmtId="49" fontId="15" fillId="0" borderId="78" xfId="0" applyNumberFormat="1" applyFont="1" applyBorder="1" applyAlignment="1">
      <alignment horizontal="center" vertical="center"/>
    </xf>
    <xf numFmtId="49" fontId="15" fillId="0" borderId="79" xfId="0" applyNumberFormat="1" applyFont="1" applyBorder="1" applyAlignment="1">
      <alignment horizontal="center" vertical="center"/>
    </xf>
    <xf numFmtId="49" fontId="15" fillId="7" borderId="77" xfId="0" applyNumberFormat="1" applyFont="1" applyFill="1" applyBorder="1" applyAlignment="1">
      <alignment horizontal="center" vertical="center"/>
    </xf>
    <xf numFmtId="0" fontId="55" fillId="3" borderId="71" xfId="0" applyFont="1" applyFill="1" applyBorder="1" applyAlignment="1">
      <alignment horizontal="center" vertical="center" wrapText="1"/>
    </xf>
    <xf numFmtId="14" fontId="21" fillId="5" borderId="38" xfId="0" applyNumberFormat="1" applyFont="1" applyFill="1" applyBorder="1" applyAlignment="1">
      <alignment horizontal="center" vertical="center"/>
    </xf>
    <xf numFmtId="14" fontId="0" fillId="5" borderId="34" xfId="0" applyNumberFormat="1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6" fillId="0" borderId="73" xfId="0" applyFont="1" applyBorder="1"/>
    <xf numFmtId="14" fontId="0" fillId="0" borderId="0" xfId="0" applyNumberFormat="1"/>
    <xf numFmtId="0" fontId="10" fillId="0" borderId="87" xfId="0" applyFont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49" fontId="10" fillId="7" borderId="78" xfId="0" applyNumberFormat="1" applyFont="1" applyFill="1" applyBorder="1" applyAlignment="1">
      <alignment horizontal="center" vertical="center"/>
    </xf>
    <xf numFmtId="0" fontId="10" fillId="7" borderId="89" xfId="0" applyFont="1" applyFill="1" applyBorder="1" applyAlignment="1">
      <alignment horizontal="center" vertical="center"/>
    </xf>
    <xf numFmtId="0" fontId="10" fillId="7" borderId="90" xfId="0" applyFont="1" applyFill="1" applyBorder="1" applyAlignment="1">
      <alignment horizontal="center" vertical="center"/>
    </xf>
    <xf numFmtId="49" fontId="10" fillId="7" borderId="79" xfId="0" applyNumberFormat="1" applyFont="1" applyFill="1" applyBorder="1" applyAlignment="1">
      <alignment horizontal="center" vertical="center"/>
    </xf>
    <xf numFmtId="0" fontId="10" fillId="7" borderId="92" xfId="0" applyFont="1" applyFill="1" applyBorder="1" applyAlignment="1">
      <alignment horizontal="center" vertical="center"/>
    </xf>
    <xf numFmtId="0" fontId="10" fillId="7" borderId="93" xfId="0" applyFont="1" applyFill="1" applyBorder="1" applyAlignment="1">
      <alignment horizontal="center" vertical="center"/>
    </xf>
    <xf numFmtId="0" fontId="10" fillId="7" borderId="94" xfId="0" applyFont="1" applyFill="1" applyBorder="1" applyAlignment="1">
      <alignment horizontal="center" vertical="center"/>
    </xf>
    <xf numFmtId="0" fontId="10" fillId="7" borderId="95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/>
    </xf>
    <xf numFmtId="14" fontId="0" fillId="7" borderId="78" xfId="0" applyNumberFormat="1" applyFill="1" applyBorder="1" applyAlignment="1">
      <alignment horizontal="center"/>
    </xf>
    <xf numFmtId="14" fontId="0" fillId="7" borderId="3" xfId="0" applyNumberFormat="1" applyFill="1" applyBorder="1" applyAlignment="1">
      <alignment horizontal="center"/>
    </xf>
    <xf numFmtId="14" fontId="0" fillId="7" borderId="33" xfId="0" applyNumberFormat="1" applyFill="1" applyBorder="1" applyAlignment="1">
      <alignment horizontal="center"/>
    </xf>
    <xf numFmtId="0" fontId="0" fillId="7" borderId="68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3" xfId="0" applyFill="1" applyBorder="1" applyAlignment="1">
      <alignment horizontal="center"/>
    </xf>
    <xf numFmtId="14" fontId="0" fillId="7" borderId="0" xfId="0" applyNumberFormat="1" applyFill="1"/>
    <xf numFmtId="0" fontId="0" fillId="7" borderId="0" xfId="0" applyFill="1"/>
    <xf numFmtId="0" fontId="15" fillId="11" borderId="0" xfId="0" applyFont="1" applyFill="1" applyAlignment="1">
      <alignment vertical="center" wrapText="1"/>
    </xf>
    <xf numFmtId="0" fontId="15" fillId="11" borderId="0" xfId="0" applyFont="1" applyFill="1" applyAlignment="1">
      <alignment horizontal="center" vertical="center" wrapText="1"/>
    </xf>
    <xf numFmtId="0" fontId="15" fillId="1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21" fillId="0" borderId="0" xfId="3" applyAlignment="1">
      <alignment horizontal="left"/>
    </xf>
    <xf numFmtId="0" fontId="21" fillId="5" borderId="0" xfId="3" applyFill="1" applyAlignment="1">
      <alignment horizontal="left"/>
    </xf>
    <xf numFmtId="0" fontId="21" fillId="13" borderId="0" xfId="3" applyFill="1" applyAlignment="1">
      <alignment horizontal="left"/>
    </xf>
    <xf numFmtId="0" fontId="0" fillId="13" borderId="0" xfId="0" applyFill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21" fillId="7" borderId="0" xfId="3" applyFill="1" applyAlignment="1">
      <alignment horizontal="left"/>
    </xf>
    <xf numFmtId="0" fontId="0" fillId="14" borderId="0" xfId="0" applyFill="1" applyAlignment="1">
      <alignment horizontal="left"/>
    </xf>
    <xf numFmtId="0" fontId="0" fillId="0" borderId="0" xfId="3" applyFont="1" applyAlignment="1">
      <alignment horizontal="left"/>
    </xf>
    <xf numFmtId="49" fontId="58" fillId="7" borderId="77" xfId="0" applyNumberFormat="1" applyFont="1" applyFill="1" applyBorder="1" applyAlignment="1">
      <alignment horizontal="center" vertical="center"/>
    </xf>
    <xf numFmtId="49" fontId="0" fillId="7" borderId="16" xfId="0" applyNumberFormat="1" applyFill="1" applyBorder="1" applyAlignment="1">
      <alignment horizontal="center" vertical="center"/>
    </xf>
    <xf numFmtId="0" fontId="55" fillId="3" borderId="73" xfId="0" applyFont="1" applyFill="1" applyBorder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49" fontId="57" fillId="7" borderId="83" xfId="0" applyNumberFormat="1" applyFont="1" applyFill="1" applyBorder="1" applyAlignment="1">
      <alignment horizontal="center" vertical="center"/>
    </xf>
    <xf numFmtId="49" fontId="57" fillId="7" borderId="1" xfId="0" applyNumberFormat="1" applyFont="1" applyFill="1" applyBorder="1" applyAlignment="1">
      <alignment horizontal="center" vertical="center"/>
    </xf>
    <xf numFmtId="49" fontId="57" fillId="0" borderId="10" xfId="0" applyNumberFormat="1" applyFon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49" fontId="0" fillId="0" borderId="0" xfId="0" applyNumberFormat="1"/>
    <xf numFmtId="49" fontId="20" fillId="7" borderId="0" xfId="0" applyNumberFormat="1" applyFont="1" applyFill="1" applyAlignment="1">
      <alignment horizontal="center" vertical="center"/>
    </xf>
    <xf numFmtId="0" fontId="20" fillId="0" borderId="0" xfId="0" applyFont="1"/>
    <xf numFmtId="0" fontId="64" fillId="15" borderId="70" xfId="0" applyFont="1" applyFill="1" applyBorder="1" applyAlignment="1">
      <alignment horizontal="center" vertical="center" wrapText="1"/>
    </xf>
    <xf numFmtId="0" fontId="66" fillId="15" borderId="71" xfId="0" applyFont="1" applyFill="1" applyBorder="1" applyAlignment="1">
      <alignment horizontal="center" vertical="center" wrapText="1"/>
    </xf>
    <xf numFmtId="49" fontId="15" fillId="15" borderId="78" xfId="0" applyNumberFormat="1" applyFont="1" applyFill="1" applyBorder="1" applyAlignment="1">
      <alignment horizontal="center" vertical="center"/>
    </xf>
    <xf numFmtId="49" fontId="15" fillId="15" borderId="79" xfId="0" applyNumberFormat="1" applyFont="1" applyFill="1" applyBorder="1" applyAlignment="1">
      <alignment horizontal="center" vertical="center"/>
    </xf>
    <xf numFmtId="0" fontId="0" fillId="15" borderId="0" xfId="0" applyFill="1"/>
    <xf numFmtId="0" fontId="5" fillId="15" borderId="73" xfId="0" applyFont="1" applyFill="1" applyBorder="1"/>
    <xf numFmtId="0" fontId="5" fillId="15" borderId="5" xfId="0" applyFont="1" applyFill="1" applyBorder="1"/>
    <xf numFmtId="0" fontId="3" fillId="15" borderId="0" xfId="0" applyFont="1" applyFill="1"/>
    <xf numFmtId="0" fontId="20" fillId="15" borderId="0" xfId="0" applyFont="1" applyFill="1"/>
    <xf numFmtId="0" fontId="27" fillId="4" borderId="10" xfId="2" applyFont="1" applyFill="1" applyBorder="1" applyAlignment="1">
      <alignment horizontal="center" vertical="center" wrapText="1"/>
    </xf>
    <xf numFmtId="0" fontId="27" fillId="4" borderId="11" xfId="2" applyFont="1" applyFill="1" applyBorder="1" applyAlignment="1">
      <alignment horizontal="center" vertical="center" wrapText="1"/>
    </xf>
    <xf numFmtId="0" fontId="27" fillId="0" borderId="2" xfId="2" applyFont="1" applyBorder="1" applyAlignment="1">
      <alignment horizontal="center" vertical="center" wrapText="1"/>
    </xf>
    <xf numFmtId="0" fontId="27" fillId="0" borderId="9" xfId="2" applyFont="1" applyBorder="1" applyAlignment="1">
      <alignment horizontal="center" vertical="center" wrapText="1"/>
    </xf>
    <xf numFmtId="0" fontId="27" fillId="0" borderId="11" xfId="2" applyFont="1" applyBorder="1" applyAlignment="1">
      <alignment horizontal="center" vertical="center" wrapText="1"/>
    </xf>
    <xf numFmtId="0" fontId="27" fillId="0" borderId="12" xfId="2" applyFont="1" applyBorder="1" applyAlignment="1">
      <alignment horizontal="center" vertical="center" wrapText="1"/>
    </xf>
    <xf numFmtId="0" fontId="27" fillId="0" borderId="13" xfId="2" applyFont="1" applyBorder="1" applyAlignment="1">
      <alignment horizontal="center" vertical="center" wrapText="1"/>
    </xf>
    <xf numFmtId="0" fontId="27" fillId="0" borderId="17" xfId="2" applyFont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0" fontId="27" fillId="0" borderId="3" xfId="2" applyFont="1" applyBorder="1" applyAlignment="1">
      <alignment horizontal="center" vertical="center" wrapText="1"/>
    </xf>
    <xf numFmtId="0" fontId="28" fillId="0" borderId="17" xfId="2" applyFont="1" applyBorder="1" applyAlignment="1">
      <alignment horizontal="left" vertical="center" wrapText="1"/>
    </xf>
    <xf numFmtId="0" fontId="28" fillId="0" borderId="1" xfId="2" applyFont="1" applyBorder="1" applyAlignment="1">
      <alignment horizontal="left" vertical="center" wrapText="1"/>
    </xf>
    <xf numFmtId="0" fontId="28" fillId="0" borderId="3" xfId="2" applyFont="1" applyBorder="1" applyAlignment="1">
      <alignment horizontal="left" vertical="center" wrapText="1"/>
    </xf>
    <xf numFmtId="0" fontId="27" fillId="4" borderId="2" xfId="2" applyFont="1" applyFill="1" applyBorder="1" applyAlignment="1">
      <alignment horizontal="justify" vertical="center" wrapText="1"/>
    </xf>
    <xf numFmtId="0" fontId="27" fillId="4" borderId="17" xfId="2" applyFont="1" applyFill="1" applyBorder="1" applyAlignment="1">
      <alignment vertical="center" wrapText="1"/>
    </xf>
    <xf numFmtId="0" fontId="27" fillId="4" borderId="1" xfId="2" applyFont="1" applyFill="1" applyBorder="1" applyAlignment="1">
      <alignment vertical="center" wrapText="1"/>
    </xf>
    <xf numFmtId="0" fontId="27" fillId="4" borderId="3" xfId="2" applyFont="1" applyFill="1" applyBorder="1" applyAlignment="1">
      <alignment vertical="center" wrapText="1"/>
    </xf>
    <xf numFmtId="0" fontId="27" fillId="0" borderId="17" xfId="2" applyFont="1" applyBorder="1" applyAlignment="1">
      <alignment horizontal="left" vertical="center" wrapText="1"/>
    </xf>
    <xf numFmtId="0" fontId="27" fillId="0" borderId="1" xfId="2" applyFont="1" applyBorder="1" applyAlignment="1">
      <alignment horizontal="left" vertical="center" wrapText="1"/>
    </xf>
    <xf numFmtId="0" fontId="27" fillId="0" borderId="3" xfId="2" applyFont="1" applyBorder="1" applyAlignment="1">
      <alignment horizontal="left" vertical="center" wrapText="1"/>
    </xf>
    <xf numFmtId="0" fontId="27" fillId="4" borderId="17" xfId="2" applyFont="1" applyFill="1" applyBorder="1" applyAlignment="1">
      <alignment horizontal="left" vertical="center" wrapText="1"/>
    </xf>
    <xf numFmtId="0" fontId="27" fillId="4" borderId="1" xfId="2" applyFont="1" applyFill="1" applyBorder="1" applyAlignment="1">
      <alignment horizontal="left" vertical="center" wrapText="1"/>
    </xf>
    <xf numFmtId="0" fontId="27" fillId="4" borderId="3" xfId="2" applyFont="1" applyFill="1" applyBorder="1" applyAlignment="1">
      <alignment horizontal="left" vertical="center" wrapText="1"/>
    </xf>
    <xf numFmtId="0" fontId="38" fillId="0" borderId="46" xfId="0" applyFont="1" applyBorder="1" applyAlignment="1">
      <alignment horizontal="left" vertical="center" wrapText="1"/>
    </xf>
    <xf numFmtId="0" fontId="38" fillId="0" borderId="47" xfId="0" applyFont="1" applyBorder="1" applyAlignment="1">
      <alignment horizontal="left" vertical="center" wrapText="1"/>
    </xf>
    <xf numFmtId="0" fontId="38" fillId="0" borderId="48" xfId="0" applyFont="1" applyBorder="1" applyAlignment="1">
      <alignment horizontal="left" vertical="center" wrapText="1"/>
    </xf>
    <xf numFmtId="0" fontId="38" fillId="0" borderId="49" xfId="0" applyFont="1" applyBorder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38" fillId="0" borderId="50" xfId="0" applyFont="1" applyBorder="1" applyAlignment="1">
      <alignment horizontal="left" vertical="center" wrapText="1"/>
    </xf>
    <xf numFmtId="0" fontId="38" fillId="0" borderId="51" xfId="0" applyFont="1" applyBorder="1" applyAlignment="1">
      <alignment horizontal="left" vertical="center" wrapText="1"/>
    </xf>
    <xf numFmtId="0" fontId="38" fillId="0" borderId="52" xfId="0" applyFont="1" applyBorder="1" applyAlignment="1">
      <alignment horizontal="left" vertical="center" wrapText="1"/>
    </xf>
    <xf numFmtId="0" fontId="38" fillId="0" borderId="53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top"/>
    </xf>
    <xf numFmtId="0" fontId="10" fillId="3" borderId="23" xfId="0" applyFont="1" applyFill="1" applyBorder="1" applyAlignment="1">
      <alignment horizontal="center" vertical="top"/>
    </xf>
    <xf numFmtId="0" fontId="6" fillId="3" borderId="69" xfId="0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19" fillId="3" borderId="24" xfId="1" applyFont="1" applyFill="1" applyBorder="1" applyAlignment="1">
      <alignment horizontal="center" vertical="center"/>
    </xf>
    <xf numFmtId="0" fontId="19" fillId="3" borderId="25" xfId="1" applyFont="1" applyFill="1" applyBorder="1" applyAlignment="1">
      <alignment horizontal="center" vertical="center"/>
    </xf>
    <xf numFmtId="0" fontId="19" fillId="3" borderId="26" xfId="1" applyFont="1" applyFill="1" applyBorder="1" applyAlignment="1">
      <alignment horizontal="center" vertical="center"/>
    </xf>
    <xf numFmtId="0" fontId="19" fillId="3" borderId="27" xfId="1" applyFont="1" applyFill="1" applyBorder="1" applyAlignment="1">
      <alignment horizontal="center" vertical="center"/>
    </xf>
    <xf numFmtId="0" fontId="55" fillId="3" borderId="37" xfId="0" applyFont="1" applyFill="1" applyBorder="1" applyAlignment="1">
      <alignment horizontal="center" vertical="center" wrapText="1"/>
    </xf>
    <xf numFmtId="0" fontId="55" fillId="3" borderId="62" xfId="0" applyFont="1" applyFill="1" applyBorder="1" applyAlignment="1">
      <alignment horizontal="center" vertical="center" wrapText="1"/>
    </xf>
    <xf numFmtId="0" fontId="19" fillId="3" borderId="70" xfId="0" applyFont="1" applyFill="1" applyBorder="1" applyAlignment="1">
      <alignment horizontal="center" vertical="center" wrapText="1"/>
    </xf>
    <xf numFmtId="0" fontId="19" fillId="3" borderId="71" xfId="0" applyFont="1" applyFill="1" applyBorder="1" applyAlignment="1">
      <alignment horizontal="center" vertical="center" wrapText="1"/>
    </xf>
    <xf numFmtId="14" fontId="13" fillId="10" borderId="2" xfId="0" applyNumberFormat="1" applyFont="1" applyFill="1" applyBorder="1" applyAlignment="1">
      <alignment horizontal="center" vertical="center"/>
    </xf>
    <xf numFmtId="14" fontId="21" fillId="10" borderId="38" xfId="0" applyNumberFormat="1" applyFont="1" applyFill="1" applyBorder="1" applyAlignment="1">
      <alignment horizontal="center" vertical="center"/>
    </xf>
    <xf numFmtId="14" fontId="21" fillId="10" borderId="1" xfId="0" applyNumberFormat="1" applyFont="1" applyFill="1" applyBorder="1" applyAlignment="1">
      <alignment horizontal="center" vertical="center"/>
    </xf>
    <xf numFmtId="14" fontId="13" fillId="10" borderId="16" xfId="0" applyNumberFormat="1" applyFont="1" applyFill="1" applyBorder="1" applyAlignment="1">
      <alignment horizontal="center" vertical="center"/>
    </xf>
    <xf numFmtId="14" fontId="0" fillId="10" borderId="2" xfId="0" applyNumberFormat="1" applyFill="1" applyBorder="1" applyAlignment="1">
      <alignment horizontal="center" vertical="center"/>
    </xf>
    <xf numFmtId="14" fontId="21" fillId="10" borderId="81" xfId="0" applyNumberFormat="1" applyFont="1" applyFill="1" applyBorder="1" applyAlignment="1">
      <alignment horizontal="center" vertical="center"/>
    </xf>
    <xf numFmtId="14" fontId="13" fillId="10" borderId="76" xfId="0" applyNumberFormat="1" applyFont="1" applyFill="1" applyBorder="1" applyAlignment="1">
      <alignment horizontal="center" vertical="center"/>
    </xf>
    <xf numFmtId="14" fontId="21" fillId="10" borderId="91" xfId="0" applyNumberFormat="1" applyFont="1" applyFill="1" applyBorder="1" applyAlignment="1">
      <alignment horizontal="center" vertical="center"/>
    </xf>
    <xf numFmtId="14" fontId="21" fillId="10" borderId="10" xfId="0" applyNumberFormat="1" applyFont="1" applyFill="1" applyBorder="1" applyAlignment="1">
      <alignment horizontal="center" vertical="center"/>
    </xf>
    <xf numFmtId="14" fontId="21" fillId="10" borderId="11" xfId="0" applyNumberFormat="1" applyFont="1" applyFill="1" applyBorder="1" applyAlignment="1">
      <alignment horizontal="center" vertical="center"/>
    </xf>
    <xf numFmtId="14" fontId="21" fillId="10" borderId="2" xfId="0" applyNumberFormat="1" applyFont="1" applyFill="1" applyBorder="1" applyAlignment="1">
      <alignment horizontal="center" vertical="center"/>
    </xf>
    <xf numFmtId="14" fontId="21" fillId="10" borderId="16" xfId="0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14" fontId="21" fillId="10" borderId="34" xfId="0" applyNumberFormat="1" applyFont="1" applyFill="1" applyBorder="1" applyAlignment="1">
      <alignment horizontal="center" vertical="center"/>
    </xf>
    <xf numFmtId="14" fontId="21" fillId="10" borderId="30" xfId="0" applyNumberFormat="1" applyFont="1" applyFill="1" applyBorder="1" applyAlignment="1">
      <alignment horizontal="center" vertical="center"/>
    </xf>
    <xf numFmtId="14" fontId="21" fillId="10" borderId="82" xfId="0" applyNumberFormat="1" applyFont="1" applyFill="1" applyBorder="1" applyAlignment="1">
      <alignment horizontal="center" vertical="center"/>
    </xf>
    <xf numFmtId="14" fontId="21" fillId="10" borderId="83" xfId="0" applyNumberFormat="1" applyFont="1" applyFill="1" applyBorder="1" applyAlignment="1">
      <alignment horizontal="center" vertical="center"/>
    </xf>
    <xf numFmtId="14" fontId="21" fillId="10" borderId="0" xfId="0" applyNumberFormat="1" applyFont="1" applyFill="1" applyAlignment="1">
      <alignment horizontal="center" vertical="center"/>
    </xf>
    <xf numFmtId="14" fontId="21" fillId="10" borderId="43" xfId="0" applyNumberFormat="1" applyFont="1" applyFill="1" applyBorder="1" applyAlignment="1">
      <alignment horizontal="center" vertical="center"/>
    </xf>
    <xf numFmtId="14" fontId="13" fillId="10" borderId="38" xfId="0" applyNumberFormat="1" applyFont="1" applyFill="1" applyBorder="1" applyAlignment="1">
      <alignment horizontal="center" vertical="center"/>
    </xf>
    <xf numFmtId="14" fontId="13" fillId="10" borderId="1" xfId="0" applyNumberFormat="1" applyFont="1" applyFill="1" applyBorder="1" applyAlignment="1">
      <alignment horizontal="center" vertical="center"/>
    </xf>
    <xf numFmtId="14" fontId="13" fillId="10" borderId="83" xfId="0" applyNumberFormat="1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38" fillId="0" borderId="54" xfId="0" applyFont="1" applyBorder="1" applyAlignment="1">
      <alignment horizontal="left" vertical="center" wrapText="1"/>
    </xf>
    <xf numFmtId="0" fontId="38" fillId="0" borderId="55" xfId="0" applyFont="1" applyBorder="1" applyAlignment="1">
      <alignment horizontal="left" vertical="center" wrapText="1"/>
    </xf>
    <xf numFmtId="0" fontId="38" fillId="0" borderId="56" xfId="0" applyFont="1" applyBorder="1" applyAlignment="1">
      <alignment horizontal="left" vertical="center" wrapText="1"/>
    </xf>
    <xf numFmtId="0" fontId="38" fillId="0" borderId="57" xfId="0" applyFont="1" applyBorder="1" applyAlignment="1">
      <alignment horizontal="left" vertical="center" wrapText="1"/>
    </xf>
    <xf numFmtId="0" fontId="38" fillId="0" borderId="58" xfId="0" applyFont="1" applyBorder="1" applyAlignment="1">
      <alignment horizontal="left" vertical="center" wrapText="1"/>
    </xf>
    <xf numFmtId="0" fontId="38" fillId="0" borderId="59" xfId="0" applyFont="1" applyBorder="1" applyAlignment="1">
      <alignment horizontal="left" vertical="center" wrapText="1"/>
    </xf>
    <xf numFmtId="0" fontId="38" fillId="0" borderId="60" xfId="0" applyFont="1" applyBorder="1" applyAlignment="1">
      <alignment horizontal="left" vertical="center" wrapText="1"/>
    </xf>
    <xf numFmtId="0" fontId="38" fillId="0" borderId="61" xfId="0" applyFont="1" applyBorder="1" applyAlignment="1">
      <alignment horizontal="left" vertical="center" wrapText="1"/>
    </xf>
    <xf numFmtId="0" fontId="4" fillId="3" borderId="22" xfId="1" applyFont="1" applyFill="1" applyBorder="1" applyAlignment="1">
      <alignment horizontal="center" vertical="center" wrapText="1"/>
    </xf>
    <xf numFmtId="0" fontId="4" fillId="3" borderId="45" xfId="1" applyFont="1" applyFill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164" fontId="25" fillId="6" borderId="41" xfId="0" applyNumberFormat="1" applyFont="1" applyFill="1" applyBorder="1" applyAlignment="1">
      <alignment horizontal="center" vertical="center"/>
    </xf>
    <xf numFmtId="164" fontId="25" fillId="6" borderId="63" xfId="0" applyNumberFormat="1" applyFont="1" applyFill="1" applyBorder="1" applyAlignment="1">
      <alignment horizontal="center" vertical="center"/>
    </xf>
    <xf numFmtId="164" fontId="25" fillId="6" borderId="64" xfId="0" applyNumberFormat="1" applyFont="1" applyFill="1" applyBorder="1" applyAlignment="1">
      <alignment horizontal="center" vertical="center"/>
    </xf>
    <xf numFmtId="14" fontId="45" fillId="2" borderId="12" xfId="0" applyNumberFormat="1" applyFont="1" applyFill="1" applyBorder="1" applyAlignment="1">
      <alignment horizontal="center" vertical="center"/>
    </xf>
    <xf numFmtId="0" fontId="45" fillId="2" borderId="13" xfId="0" applyFont="1" applyFill="1" applyBorder="1" applyAlignment="1">
      <alignment horizontal="center" vertical="center"/>
    </xf>
    <xf numFmtId="0" fontId="45" fillId="2" borderId="12" xfId="0" applyFont="1" applyFill="1" applyBorder="1" applyAlignment="1">
      <alignment horizontal="center" vertical="center"/>
    </xf>
    <xf numFmtId="14" fontId="36" fillId="0" borderId="17" xfId="0" applyNumberFormat="1" applyFont="1" applyBorder="1" applyAlignment="1">
      <alignment horizontal="center" vertical="center"/>
    </xf>
    <xf numFmtId="14" fontId="36" fillId="0" borderId="3" xfId="0" applyNumberFormat="1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49" fontId="25" fillId="0" borderId="2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49" fontId="48" fillId="3" borderId="26" xfId="0" applyNumberFormat="1" applyFont="1" applyFill="1" applyBorder="1" applyAlignment="1">
      <alignment horizontal="center" vertical="center" wrapText="1"/>
    </xf>
    <xf numFmtId="49" fontId="48" fillId="3" borderId="29" xfId="0" applyNumberFormat="1" applyFont="1" applyFill="1" applyBorder="1" applyAlignment="1">
      <alignment horizontal="center" vertical="center" wrapText="1"/>
    </xf>
    <xf numFmtId="49" fontId="48" fillId="3" borderId="27" xfId="0" applyNumberFormat="1" applyFont="1" applyFill="1" applyBorder="1" applyAlignment="1">
      <alignment horizontal="center" vertical="center" wrapText="1"/>
    </xf>
    <xf numFmtId="49" fontId="25" fillId="3" borderId="26" xfId="0" applyNumberFormat="1" applyFont="1" applyFill="1" applyBorder="1" applyAlignment="1">
      <alignment horizontal="center" vertical="center"/>
    </xf>
    <xf numFmtId="49" fontId="25" fillId="3" borderId="29" xfId="0" applyNumberFormat="1" applyFont="1" applyFill="1" applyBorder="1" applyAlignment="1">
      <alignment horizontal="center" vertical="center"/>
    </xf>
    <xf numFmtId="49" fontId="25" fillId="3" borderId="27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38" fillId="0" borderId="65" xfId="0" applyFont="1" applyBorder="1" applyAlignment="1">
      <alignment horizontal="left" vertical="center" wrapText="1"/>
    </xf>
    <xf numFmtId="0" fontId="38" fillId="0" borderId="66" xfId="0" applyFont="1" applyBorder="1" applyAlignment="1">
      <alignment horizontal="left" vertical="center" wrapText="1"/>
    </xf>
    <xf numFmtId="0" fontId="38" fillId="0" borderId="67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0" fillId="0" borderId="54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2"/>
    <cellStyle name="Normal 4" xfId="3"/>
  </cellStyles>
  <dxfs count="0"/>
  <tableStyles count="0" defaultTableStyle="TableStyleMedium9" defaultPivotStyle="PivotStyleLight16"/>
  <colors>
    <mruColors>
      <color rgb="FFCCFFCC"/>
      <color rgb="FFFFFFCC"/>
      <color rgb="FFE3FDEF"/>
      <color rgb="FFACFACF"/>
      <color rgb="FF0000FF"/>
      <color rgb="FFCC0066"/>
      <color rgb="FFE4008C"/>
      <color rgb="FFE200A7"/>
      <color rgb="FFFF33CC"/>
      <color rgb="FFC70F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view="pageLayout" zoomScaleNormal="100" workbookViewId="0">
      <selection activeCell="H9" sqref="H9"/>
    </sheetView>
  </sheetViews>
  <sheetFormatPr baseColWidth="10" defaultColWidth="11.453125" defaultRowHeight="14.5" x14ac:dyDescent="0.35"/>
  <cols>
    <col min="1" max="5" width="15.6328125" style="33" customWidth="1"/>
    <col min="6" max="6" width="22.36328125" style="33" customWidth="1"/>
    <col min="7" max="16384" width="11.453125" style="33"/>
  </cols>
  <sheetData>
    <row r="1" spans="1:6" x14ac:dyDescent="0.35">
      <c r="A1" s="45" t="s">
        <v>9</v>
      </c>
      <c r="B1" s="395"/>
      <c r="C1" s="395"/>
      <c r="D1" s="395"/>
      <c r="E1" s="395"/>
      <c r="F1" s="396"/>
    </row>
    <row r="2" spans="1:6" x14ac:dyDescent="0.35">
      <c r="A2" s="397" t="s">
        <v>10</v>
      </c>
      <c r="B2" s="397"/>
      <c r="C2" s="397" t="s">
        <v>11</v>
      </c>
      <c r="D2" s="397"/>
      <c r="E2" s="397" t="s">
        <v>12</v>
      </c>
      <c r="F2" s="397"/>
    </row>
    <row r="3" spans="1:6" x14ac:dyDescent="0.35">
      <c r="A3" s="34" t="s">
        <v>13</v>
      </c>
      <c r="B3" s="34" t="s">
        <v>14</v>
      </c>
      <c r="C3" s="34" t="s">
        <v>15</v>
      </c>
      <c r="D3" s="34" t="s">
        <v>16</v>
      </c>
      <c r="E3" s="34" t="s">
        <v>13</v>
      </c>
      <c r="F3" s="35" t="s">
        <v>14</v>
      </c>
    </row>
    <row r="4" spans="1:6" ht="30" customHeight="1" x14ac:dyDescent="0.35">
      <c r="A4" s="41" t="s">
        <v>17</v>
      </c>
      <c r="B4" s="42" t="s">
        <v>18</v>
      </c>
      <c r="C4" s="41" t="s">
        <v>19</v>
      </c>
      <c r="D4" s="36" t="s">
        <v>20</v>
      </c>
      <c r="E4" s="43" t="s">
        <v>21</v>
      </c>
      <c r="F4" s="41" t="s">
        <v>22</v>
      </c>
    </row>
    <row r="5" spans="1:6" x14ac:dyDescent="0.35">
      <c r="A5" s="32" t="s">
        <v>23</v>
      </c>
      <c r="B5" s="37"/>
      <c r="C5" s="37"/>
      <c r="D5" s="37"/>
      <c r="E5" s="37"/>
      <c r="F5" s="38"/>
    </row>
    <row r="6" spans="1:6" x14ac:dyDescent="0.35">
      <c r="A6" s="398" t="s">
        <v>24</v>
      </c>
      <c r="B6" s="399"/>
      <c r="C6" s="402" t="s">
        <v>25</v>
      </c>
      <c r="D6" s="403"/>
      <c r="E6" s="403"/>
      <c r="F6" s="404"/>
    </row>
    <row r="7" spans="1:6" ht="15" customHeight="1" x14ac:dyDescent="0.35">
      <c r="A7" s="400"/>
      <c r="B7" s="401"/>
      <c r="C7" s="402" t="s">
        <v>26</v>
      </c>
      <c r="D7" s="404"/>
      <c r="E7" s="402" t="s">
        <v>27</v>
      </c>
      <c r="F7" s="404"/>
    </row>
    <row r="8" spans="1:6" ht="16.5" customHeight="1" x14ac:dyDescent="0.35">
      <c r="A8" s="35" t="s">
        <v>15</v>
      </c>
      <c r="B8" s="34" t="s">
        <v>16</v>
      </c>
      <c r="C8" s="34" t="s">
        <v>13</v>
      </c>
      <c r="D8" s="34" t="s">
        <v>14</v>
      </c>
      <c r="E8" s="34" t="s">
        <v>28</v>
      </c>
      <c r="F8" s="35" t="s">
        <v>29</v>
      </c>
    </row>
    <row r="9" spans="1:6" ht="80.5" x14ac:dyDescent="0.35">
      <c r="A9" s="41" t="s">
        <v>17</v>
      </c>
      <c r="B9" s="41" t="s">
        <v>18</v>
      </c>
      <c r="C9" s="44" t="s">
        <v>76</v>
      </c>
      <c r="D9" s="43" t="s">
        <v>88</v>
      </c>
      <c r="E9" s="41" t="s">
        <v>86</v>
      </c>
      <c r="F9" s="43" t="s">
        <v>87</v>
      </c>
    </row>
    <row r="10" spans="1:6" ht="15" customHeight="1" x14ac:dyDescent="0.35">
      <c r="A10" s="409" t="s">
        <v>77</v>
      </c>
      <c r="B10" s="410"/>
      <c r="C10" s="410"/>
      <c r="D10" s="410"/>
      <c r="E10" s="410"/>
      <c r="F10" s="411"/>
    </row>
    <row r="11" spans="1:6" ht="15" customHeight="1" x14ac:dyDescent="0.35">
      <c r="A11" s="34" t="s">
        <v>7</v>
      </c>
      <c r="B11" s="402" t="s">
        <v>30</v>
      </c>
      <c r="C11" s="403"/>
      <c r="D11" s="403"/>
      <c r="E11" s="403"/>
      <c r="F11" s="404"/>
    </row>
    <row r="12" spans="1:6" ht="15" customHeight="1" x14ac:dyDescent="0.35">
      <c r="A12" s="39" t="s">
        <v>90</v>
      </c>
      <c r="B12" s="412" t="s">
        <v>89</v>
      </c>
      <c r="C12" s="413"/>
      <c r="D12" s="413"/>
      <c r="E12" s="413"/>
      <c r="F12" s="414"/>
    </row>
    <row r="13" spans="1:6" ht="39" customHeight="1" x14ac:dyDescent="0.35">
      <c r="A13" s="39" t="s">
        <v>31</v>
      </c>
      <c r="B13" s="412" t="s">
        <v>36</v>
      </c>
      <c r="C13" s="413"/>
      <c r="D13" s="413"/>
      <c r="E13" s="413"/>
      <c r="F13" s="414"/>
    </row>
    <row r="14" spans="1:6" ht="15" customHeight="1" x14ac:dyDescent="0.35">
      <c r="A14" s="415" t="s">
        <v>32</v>
      </c>
      <c r="B14" s="416"/>
      <c r="C14" s="416"/>
      <c r="D14" s="416"/>
      <c r="E14" s="416"/>
      <c r="F14" s="417"/>
    </row>
    <row r="15" spans="1:6" ht="64.5" customHeight="1" x14ac:dyDescent="0.35">
      <c r="A15" s="412" t="s">
        <v>91</v>
      </c>
      <c r="B15" s="413"/>
      <c r="C15" s="413"/>
      <c r="D15" s="413"/>
      <c r="E15" s="413"/>
      <c r="F15" s="414"/>
    </row>
    <row r="16" spans="1:6" x14ac:dyDescent="0.35">
      <c r="A16" s="408" t="s">
        <v>33</v>
      </c>
      <c r="B16" s="408"/>
      <c r="C16" s="408"/>
      <c r="D16" s="408"/>
      <c r="E16" s="408"/>
      <c r="F16" s="408"/>
    </row>
    <row r="17" spans="1:6" ht="35.25" customHeight="1" x14ac:dyDescent="0.35">
      <c r="A17" s="405" t="s">
        <v>34</v>
      </c>
      <c r="B17" s="406"/>
      <c r="C17" s="406"/>
      <c r="D17" s="406"/>
      <c r="E17" s="406"/>
      <c r="F17" s="407"/>
    </row>
    <row r="18" spans="1:6" x14ac:dyDescent="0.35">
      <c r="A18" s="408" t="s">
        <v>35</v>
      </c>
      <c r="B18" s="408"/>
      <c r="C18" s="408"/>
      <c r="D18" s="408"/>
      <c r="E18" s="408"/>
      <c r="F18" s="408"/>
    </row>
    <row r="19" spans="1:6" ht="36" customHeight="1" x14ac:dyDescent="0.35">
      <c r="A19" s="405" t="s">
        <v>34</v>
      </c>
      <c r="B19" s="406"/>
      <c r="C19" s="406"/>
      <c r="D19" s="406"/>
      <c r="E19" s="406"/>
      <c r="F19" s="407"/>
    </row>
    <row r="20" spans="1:6" ht="15.75" customHeight="1" x14ac:dyDescent="0.35"/>
  </sheetData>
  <mergeCells count="18">
    <mergeCell ref="A17:F17"/>
    <mergeCell ref="A18:F18"/>
    <mergeCell ref="A19:F19"/>
    <mergeCell ref="A10:F10"/>
    <mergeCell ref="B11:F11"/>
    <mergeCell ref="B13:F13"/>
    <mergeCell ref="A14:F14"/>
    <mergeCell ref="A15:F15"/>
    <mergeCell ref="A16:F16"/>
    <mergeCell ref="B12:F12"/>
    <mergeCell ref="B1:F1"/>
    <mergeCell ref="A2:B2"/>
    <mergeCell ref="C2:D2"/>
    <mergeCell ref="E2:F2"/>
    <mergeCell ref="A6:B7"/>
    <mergeCell ref="C6:F6"/>
    <mergeCell ref="C7:D7"/>
    <mergeCell ref="E7:F7"/>
  </mergeCells>
  <pageMargins left="0.70833333333333337" right="0.31496062992125984" top="1.1417322834645669" bottom="0.35433070866141736" header="0.31496062992125984" footer="0.11811023622047245"/>
  <pageSetup paperSize="9" orientation="landscape" r:id="rId1"/>
  <headerFooter>
    <oddHeader xml:space="preserve">&amp;L&amp;G&amp;C&amp;"Arial,Gras"&amp;12&amp;K00-033Centre de Recherche Clinique&amp;KE4008C
SUIVI GLOBAL d'un Essai Clinique&amp;"-,Gras"
&amp;R&amp;"Arial,Normal"&amp;9Réf : ICM-ENR-452 
Version : 002 
Date d’application : Sept 2020 
Page : &amp;P/&amp;N
</oddHeader>
    <oddFooter>&amp;C&amp;"-,Italique"&amp;9Assurez-vous que ce document imprimé correspond bien à la dernière version en vigueur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2"/>
  <sheetViews>
    <sheetView zoomScaleNormal="100" workbookViewId="0">
      <selection activeCell="N26" sqref="N26"/>
    </sheetView>
  </sheetViews>
  <sheetFormatPr baseColWidth="10" defaultRowHeight="14.5" outlineLevelCol="1" x14ac:dyDescent="0.35"/>
  <cols>
    <col min="1" max="1" width="15.6328125" customWidth="1"/>
    <col min="2" max="3" width="10.6328125" customWidth="1"/>
    <col min="4" max="4" width="12.6328125" customWidth="1"/>
    <col min="5" max="5" width="25.6328125" customWidth="1"/>
    <col min="6" max="6" width="16.453125" customWidth="1"/>
    <col min="7" max="7" width="15.6328125" customWidth="1"/>
    <col min="8" max="10" width="13.6328125" customWidth="1"/>
    <col min="11" max="13" width="13.6328125" customWidth="1" outlineLevel="1"/>
    <col min="14" max="14" width="11.453125" customWidth="1"/>
    <col min="15" max="15" width="14" customWidth="1"/>
    <col min="19" max="19" width="14.36328125" customWidth="1"/>
  </cols>
  <sheetData>
    <row r="1" spans="1:19" ht="15" thickBot="1" x14ac:dyDescent="0.4"/>
    <row r="2" spans="1:19" ht="15" thickBot="1" x14ac:dyDescent="0.4">
      <c r="J2" s="430" t="s">
        <v>67</v>
      </c>
      <c r="K2" s="431"/>
    </row>
    <row r="3" spans="1:19" ht="15.75" customHeight="1" x14ac:dyDescent="0.35">
      <c r="J3" s="107"/>
      <c r="K3" s="105"/>
    </row>
    <row r="4" spans="1:19" ht="15.75" customHeight="1" x14ac:dyDescent="0.35">
      <c r="J4" s="108"/>
      <c r="K4" s="105"/>
    </row>
    <row r="5" spans="1:19" ht="19" thickBot="1" x14ac:dyDescent="0.5">
      <c r="A5" s="40" t="s">
        <v>93</v>
      </c>
      <c r="J5" s="109"/>
      <c r="K5" s="106"/>
    </row>
    <row r="6" spans="1:19" ht="15.75" customHeight="1" x14ac:dyDescent="0.35">
      <c r="A6" s="1"/>
    </row>
    <row r="7" spans="1:19" ht="15.75" customHeight="1" x14ac:dyDescent="0.35">
      <c r="A7" s="40" t="s">
        <v>63</v>
      </c>
    </row>
    <row r="8" spans="1:19" ht="15.75" customHeight="1" x14ac:dyDescent="0.35">
      <c r="A8" s="40"/>
      <c r="G8" s="110"/>
      <c r="H8" s="110"/>
    </row>
    <row r="9" spans="1:19" ht="15.75" customHeight="1" x14ac:dyDescent="0.35">
      <c r="A9" s="40"/>
      <c r="F9" s="104"/>
      <c r="G9" s="104"/>
      <c r="H9" s="104"/>
      <c r="I9" s="104"/>
      <c r="J9" s="103"/>
      <c r="K9" s="104"/>
      <c r="L9" s="104"/>
      <c r="M9" s="104"/>
      <c r="N9" s="104"/>
    </row>
    <row r="10" spans="1:19" ht="15.75" customHeight="1" thickBot="1" x14ac:dyDescent="0.4">
      <c r="A10" s="1"/>
    </row>
    <row r="11" spans="1:19" s="29" customFormat="1" ht="15.75" customHeight="1" thickBot="1" x14ac:dyDescent="0.35">
      <c r="A11" s="30"/>
      <c r="B11" s="30"/>
      <c r="C11" s="30"/>
      <c r="D11" s="30"/>
      <c r="E11" s="427" t="s">
        <v>41</v>
      </c>
      <c r="F11" s="428"/>
      <c r="G11" s="428"/>
      <c r="H11" s="428"/>
      <c r="I11" s="428"/>
      <c r="J11" s="429"/>
      <c r="K11" s="427" t="s">
        <v>41</v>
      </c>
      <c r="L11" s="428"/>
      <c r="M11" s="429"/>
    </row>
    <row r="12" spans="1:19" s="29" customFormat="1" ht="54" customHeight="1" thickBot="1" x14ac:dyDescent="0.35">
      <c r="A12" s="113" t="s">
        <v>0</v>
      </c>
      <c r="B12" s="114" t="s">
        <v>1</v>
      </c>
      <c r="C12" s="114" t="s">
        <v>38</v>
      </c>
      <c r="D12" s="115" t="s">
        <v>8</v>
      </c>
      <c r="E12" s="117" t="s">
        <v>64</v>
      </c>
      <c r="F12" s="118" t="s">
        <v>72</v>
      </c>
      <c r="G12" s="118" t="s">
        <v>73</v>
      </c>
      <c r="H12" s="102" t="s">
        <v>58</v>
      </c>
      <c r="I12" s="102" t="s">
        <v>59</v>
      </c>
      <c r="J12" s="101" t="s">
        <v>60</v>
      </c>
      <c r="K12" s="100" t="s">
        <v>62</v>
      </c>
      <c r="L12" s="99" t="s">
        <v>65</v>
      </c>
      <c r="M12" s="98" t="s">
        <v>66</v>
      </c>
      <c r="O12" s="418" t="s">
        <v>69</v>
      </c>
      <c r="P12" s="419"/>
      <c r="Q12" s="419"/>
      <c r="R12" s="419"/>
      <c r="S12" s="420"/>
    </row>
    <row r="13" spans="1:19" s="29" customFormat="1" ht="15.75" customHeight="1" x14ac:dyDescent="0.3">
      <c r="A13" s="87"/>
      <c r="B13" s="63"/>
      <c r="C13" s="63"/>
      <c r="D13" s="84"/>
      <c r="E13" s="97"/>
      <c r="F13" s="62"/>
      <c r="G13" s="62"/>
      <c r="H13" s="62"/>
      <c r="I13" s="96"/>
      <c r="J13" s="95"/>
      <c r="K13" s="94"/>
      <c r="L13" s="62"/>
      <c r="M13" s="93"/>
      <c r="O13" s="421"/>
      <c r="P13" s="422"/>
      <c r="Q13" s="422"/>
      <c r="R13" s="422"/>
      <c r="S13" s="423"/>
    </row>
    <row r="14" spans="1:19" s="29" customFormat="1" ht="15.75" customHeight="1" x14ac:dyDescent="0.3">
      <c r="A14" s="88"/>
      <c r="B14" s="63"/>
      <c r="C14" s="63"/>
      <c r="D14" s="84"/>
      <c r="E14" s="92"/>
      <c r="F14" s="63"/>
      <c r="G14" s="63"/>
      <c r="H14" s="63"/>
      <c r="I14" s="46"/>
      <c r="J14" s="91"/>
      <c r="K14" s="90"/>
      <c r="L14" s="63"/>
      <c r="M14" s="89"/>
      <c r="O14" s="421"/>
      <c r="P14" s="422"/>
      <c r="Q14" s="422"/>
      <c r="R14" s="422"/>
      <c r="S14" s="423"/>
    </row>
    <row r="15" spans="1:19" s="29" customFormat="1" ht="15.75" customHeight="1" x14ac:dyDescent="0.3">
      <c r="A15" s="87"/>
      <c r="B15" s="63"/>
      <c r="C15" s="63"/>
      <c r="D15" s="84"/>
      <c r="E15" s="83"/>
      <c r="F15" s="82"/>
      <c r="G15" s="82"/>
      <c r="H15" s="82"/>
      <c r="I15" s="82"/>
      <c r="J15" s="81"/>
      <c r="K15" s="80"/>
      <c r="L15" s="79"/>
      <c r="M15" s="78"/>
      <c r="O15" s="421"/>
      <c r="P15" s="422"/>
      <c r="Q15" s="422"/>
      <c r="R15" s="422"/>
      <c r="S15" s="423"/>
    </row>
    <row r="16" spans="1:19" s="29" customFormat="1" ht="15.75" customHeight="1" x14ac:dyDescent="0.3">
      <c r="A16" s="88"/>
      <c r="B16" s="63"/>
      <c r="C16" s="63"/>
      <c r="D16" s="84"/>
      <c r="E16" s="83"/>
      <c r="F16" s="82"/>
      <c r="G16" s="82"/>
      <c r="H16" s="82"/>
      <c r="I16" s="82"/>
      <c r="J16" s="81"/>
      <c r="K16" s="80"/>
      <c r="L16" s="79"/>
      <c r="M16" s="78"/>
      <c r="O16" s="421"/>
      <c r="P16" s="422"/>
      <c r="Q16" s="422"/>
      <c r="R16" s="422"/>
      <c r="S16" s="423"/>
    </row>
    <row r="17" spans="1:19" s="29" customFormat="1" ht="15.75" customHeight="1" x14ac:dyDescent="0.3">
      <c r="A17" s="87"/>
      <c r="B17" s="63"/>
      <c r="C17" s="63"/>
      <c r="D17" s="84"/>
      <c r="E17" s="83"/>
      <c r="F17" s="82"/>
      <c r="G17" s="82"/>
      <c r="H17" s="82"/>
      <c r="I17" s="82"/>
      <c r="J17" s="81"/>
      <c r="K17" s="80"/>
      <c r="L17" s="79"/>
      <c r="M17" s="78"/>
      <c r="O17" s="421"/>
      <c r="P17" s="422"/>
      <c r="Q17" s="422"/>
      <c r="R17" s="422"/>
      <c r="S17" s="423"/>
    </row>
    <row r="18" spans="1:19" ht="15.75" customHeight="1" x14ac:dyDescent="0.35">
      <c r="A18" s="85"/>
      <c r="B18" s="63"/>
      <c r="C18" s="63"/>
      <c r="D18" s="84"/>
      <c r="E18" s="83"/>
      <c r="F18" s="82"/>
      <c r="G18" s="82"/>
      <c r="H18" s="82"/>
      <c r="I18" s="82"/>
      <c r="J18" s="81"/>
      <c r="K18" s="80"/>
      <c r="L18" s="79"/>
      <c r="M18" s="78"/>
      <c r="O18" s="421"/>
      <c r="P18" s="422"/>
      <c r="Q18" s="422"/>
      <c r="R18" s="422"/>
      <c r="S18" s="423"/>
    </row>
    <row r="19" spans="1:19" ht="15.75" customHeight="1" x14ac:dyDescent="0.35">
      <c r="A19" s="86"/>
      <c r="B19" s="63"/>
      <c r="C19" s="63"/>
      <c r="D19" s="84"/>
      <c r="E19" s="83"/>
      <c r="F19" s="82"/>
      <c r="G19" s="82"/>
      <c r="H19" s="82"/>
      <c r="I19" s="82"/>
      <c r="J19" s="81"/>
      <c r="K19" s="80"/>
      <c r="L19" s="79"/>
      <c r="M19" s="78"/>
      <c r="O19" s="421"/>
      <c r="P19" s="422"/>
      <c r="Q19" s="422"/>
      <c r="R19" s="422"/>
      <c r="S19" s="423"/>
    </row>
    <row r="20" spans="1:19" ht="15.75" customHeight="1" thickBot="1" x14ac:dyDescent="0.4">
      <c r="A20" s="85"/>
      <c r="B20" s="63"/>
      <c r="C20" s="63"/>
      <c r="D20" s="84"/>
      <c r="E20" s="83"/>
      <c r="F20" s="82"/>
      <c r="G20" s="82"/>
      <c r="H20" s="82"/>
      <c r="I20" s="82"/>
      <c r="J20" s="81"/>
      <c r="K20" s="80"/>
      <c r="L20" s="79"/>
      <c r="M20" s="78"/>
      <c r="O20" s="424"/>
      <c r="P20" s="425"/>
      <c r="Q20" s="425"/>
      <c r="R20" s="425"/>
      <c r="S20" s="426"/>
    </row>
    <row r="21" spans="1:19" ht="15.75" customHeight="1" x14ac:dyDescent="0.35">
      <c r="A21" s="85"/>
      <c r="B21" s="63"/>
      <c r="C21" s="63"/>
      <c r="D21" s="84"/>
      <c r="E21" s="83"/>
      <c r="F21" s="82"/>
      <c r="G21" s="82"/>
      <c r="H21" s="82"/>
      <c r="I21" s="82"/>
      <c r="J21" s="81"/>
      <c r="K21" s="80"/>
      <c r="L21" s="79"/>
      <c r="M21" s="78"/>
    </row>
    <row r="22" spans="1:19" ht="15.75" customHeight="1" x14ac:dyDescent="0.35">
      <c r="A22" s="85"/>
      <c r="B22" s="63"/>
      <c r="C22" s="63"/>
      <c r="D22" s="84"/>
      <c r="E22" s="83"/>
      <c r="F22" s="82"/>
      <c r="G22" s="82"/>
      <c r="H22" s="82"/>
      <c r="I22" s="82"/>
      <c r="J22" s="81"/>
      <c r="K22" s="80"/>
      <c r="L22" s="79"/>
      <c r="M22" s="78"/>
    </row>
    <row r="23" spans="1:19" ht="15.75" customHeight="1" thickBot="1" x14ac:dyDescent="0.4">
      <c r="A23" s="77"/>
      <c r="B23" s="64"/>
      <c r="C23" s="64"/>
      <c r="D23" s="76"/>
      <c r="E23" s="75"/>
      <c r="F23" s="74"/>
      <c r="G23" s="74"/>
      <c r="H23" s="74"/>
      <c r="I23" s="74"/>
      <c r="J23" s="73"/>
      <c r="K23" s="72"/>
      <c r="L23" s="71"/>
      <c r="M23" s="70"/>
    </row>
    <row r="24" spans="1:19" ht="15.5" x14ac:dyDescent="0.35">
      <c r="A24" s="7"/>
      <c r="K24" s="69"/>
      <c r="L24" s="69"/>
      <c r="M24" s="69"/>
    </row>
    <row r="25" spans="1:19" ht="18.5" x14ac:dyDescent="0.45">
      <c r="A25" s="8"/>
      <c r="B25" s="9"/>
      <c r="C25" s="10"/>
      <c r="D25" s="10"/>
      <c r="E25" s="11"/>
    </row>
    <row r="26" spans="1:19" ht="15.5" x14ac:dyDescent="0.35">
      <c r="E26" s="5"/>
      <c r="F26" s="12"/>
      <c r="G26" s="12"/>
    </row>
    <row r="27" spans="1:19" ht="15.5" x14ac:dyDescent="0.35">
      <c r="A27" s="13"/>
      <c r="B27" s="14"/>
      <c r="C27" s="14"/>
      <c r="D27" s="14"/>
      <c r="E27" s="15"/>
      <c r="F27" s="4"/>
      <c r="G27" s="4"/>
      <c r="H27" s="16"/>
    </row>
    <row r="28" spans="1:19" ht="15.5" x14ac:dyDescent="0.35">
      <c r="A28" s="17"/>
      <c r="D28" s="67"/>
      <c r="E28" s="67"/>
      <c r="F28" s="67"/>
      <c r="G28" s="67"/>
      <c r="H28" s="67"/>
      <c r="J28" s="68"/>
    </row>
    <row r="29" spans="1:19" ht="15.5" x14ac:dyDescent="0.35">
      <c r="A29" s="17"/>
      <c r="B29" s="18"/>
      <c r="C29" s="18"/>
      <c r="G29" s="68"/>
      <c r="H29" s="68"/>
      <c r="I29" s="68"/>
      <c r="J29" s="68"/>
    </row>
    <row r="30" spans="1:19" ht="15.5" x14ac:dyDescent="0.35">
      <c r="A30" s="19"/>
      <c r="B30" s="20"/>
      <c r="C30" s="20"/>
      <c r="D30" s="67"/>
      <c r="E30" s="67"/>
      <c r="F30" s="67"/>
      <c r="G30" s="67"/>
      <c r="I30" s="68"/>
      <c r="J30" s="68"/>
    </row>
    <row r="31" spans="1:19" ht="15.5" x14ac:dyDescent="0.35">
      <c r="A31" s="5"/>
      <c r="B31" s="6"/>
      <c r="C31" s="6"/>
      <c r="G31" s="68"/>
      <c r="H31" s="68"/>
      <c r="I31" s="68"/>
      <c r="J31" s="68"/>
    </row>
    <row r="32" spans="1:19" ht="15.5" x14ac:dyDescent="0.35">
      <c r="A32" s="5"/>
      <c r="B32" s="6"/>
      <c r="C32" s="6"/>
      <c r="D32" s="67"/>
      <c r="E32" s="67"/>
      <c r="F32" s="67"/>
      <c r="G32" s="67"/>
      <c r="H32" s="67"/>
      <c r="I32" s="67"/>
      <c r="J32" s="67"/>
    </row>
    <row r="33" spans="1:9" ht="15.5" x14ac:dyDescent="0.35">
      <c r="A33" s="17"/>
      <c r="E33" s="15"/>
      <c r="F33" s="4"/>
      <c r="G33" s="4"/>
      <c r="H33" s="22"/>
    </row>
    <row r="34" spans="1:9" ht="15.5" x14ac:dyDescent="0.35">
      <c r="A34" s="17"/>
      <c r="E34" s="15"/>
      <c r="F34" s="4"/>
      <c r="G34" s="4"/>
      <c r="H34" s="16"/>
    </row>
    <row r="35" spans="1:9" ht="15.5" x14ac:dyDescent="0.35">
      <c r="A35" s="17"/>
      <c r="E35" s="15"/>
      <c r="F35" s="4"/>
      <c r="G35" s="4"/>
      <c r="H35" s="16"/>
    </row>
    <row r="36" spans="1:9" ht="15.5" x14ac:dyDescent="0.35">
      <c r="A36" s="17"/>
      <c r="F36" s="4"/>
      <c r="G36" s="4"/>
      <c r="H36" s="23"/>
    </row>
    <row r="37" spans="1:9" ht="15.5" x14ac:dyDescent="0.35">
      <c r="A37" s="5"/>
      <c r="B37" s="6"/>
      <c r="C37" s="6"/>
      <c r="D37" s="6"/>
      <c r="E37" s="24"/>
      <c r="F37" s="4"/>
      <c r="G37" s="4"/>
      <c r="H37" s="3"/>
    </row>
    <row r="38" spans="1:9" ht="15.5" x14ac:dyDescent="0.35">
      <c r="A38" s="5"/>
      <c r="B38" s="6"/>
      <c r="C38" s="6"/>
      <c r="D38" s="6"/>
      <c r="E38" s="24"/>
      <c r="F38" s="4"/>
      <c r="G38" s="4"/>
      <c r="H38" s="3"/>
    </row>
    <row r="39" spans="1:9" ht="15.5" x14ac:dyDescent="0.35">
      <c r="A39" s="5"/>
      <c r="B39" s="6"/>
      <c r="C39" s="6"/>
      <c r="D39" s="6"/>
      <c r="E39" s="24"/>
      <c r="F39" s="4"/>
      <c r="G39" s="4"/>
      <c r="H39" s="3"/>
    </row>
    <row r="40" spans="1:9" ht="15.5" x14ac:dyDescent="0.35">
      <c r="A40" s="17"/>
      <c r="E40" s="15"/>
      <c r="F40" s="4"/>
      <c r="G40" s="4"/>
      <c r="H40" s="23"/>
    </row>
    <row r="41" spans="1:9" ht="15.5" x14ac:dyDescent="0.35">
      <c r="A41" s="17"/>
      <c r="E41" s="15"/>
      <c r="F41" s="4"/>
      <c r="G41" s="4"/>
      <c r="H41" s="11"/>
    </row>
    <row r="42" spans="1:9" ht="15.5" x14ac:dyDescent="0.35">
      <c r="A42" s="17"/>
      <c r="E42" s="25"/>
      <c r="F42" s="25"/>
      <c r="G42" s="25"/>
      <c r="H42" s="11"/>
    </row>
    <row r="43" spans="1:9" ht="15.5" x14ac:dyDescent="0.35">
      <c r="A43" s="17"/>
      <c r="E43" s="25"/>
      <c r="F43" s="26"/>
      <c r="G43" s="26"/>
    </row>
    <row r="44" spans="1:9" ht="15.5" x14ac:dyDescent="0.35">
      <c r="A44" s="5"/>
      <c r="B44" s="6"/>
      <c r="C44" s="6"/>
      <c r="D44" s="6"/>
      <c r="E44" s="4"/>
      <c r="F44" s="4"/>
      <c r="G44" s="4"/>
      <c r="H44" s="3"/>
    </row>
    <row r="45" spans="1:9" ht="15.5" x14ac:dyDescent="0.35">
      <c r="A45" s="17"/>
      <c r="E45" s="25"/>
    </row>
    <row r="46" spans="1:9" ht="15.5" x14ac:dyDescent="0.35">
      <c r="A46" s="17"/>
      <c r="E46" s="25"/>
      <c r="F46" s="4"/>
      <c r="G46" s="4"/>
    </row>
    <row r="47" spans="1:9" ht="15.5" x14ac:dyDescent="0.35">
      <c r="A47" s="17"/>
      <c r="E47" s="25"/>
      <c r="F47" s="4"/>
      <c r="G47" s="4"/>
      <c r="H47" s="3"/>
      <c r="I47" s="21"/>
    </row>
    <row r="48" spans="1:9" ht="15.5" x14ac:dyDescent="0.35">
      <c r="A48" s="17"/>
      <c r="E48" s="25"/>
      <c r="F48" s="4"/>
      <c r="G48" s="4"/>
      <c r="H48" s="3"/>
      <c r="I48" s="3"/>
    </row>
    <row r="49" spans="1:8" ht="15.5" x14ac:dyDescent="0.35">
      <c r="A49" s="17"/>
      <c r="F49" s="4"/>
      <c r="G49" s="4"/>
      <c r="H49" s="3"/>
    </row>
    <row r="50" spans="1:8" ht="15.5" x14ac:dyDescent="0.35">
      <c r="A50" s="17"/>
      <c r="F50" s="4"/>
      <c r="G50" s="4"/>
    </row>
    <row r="51" spans="1:8" ht="15.5" x14ac:dyDescent="0.35">
      <c r="A51" s="17"/>
      <c r="F51" s="4"/>
      <c r="G51" s="4"/>
    </row>
    <row r="52" spans="1:8" ht="15.5" x14ac:dyDescent="0.35">
      <c r="A52" s="17"/>
      <c r="F52" s="4"/>
      <c r="G52" s="4"/>
    </row>
    <row r="53" spans="1:8" ht="15.5" x14ac:dyDescent="0.35">
      <c r="A53" s="5"/>
      <c r="B53" s="6"/>
      <c r="C53" s="6"/>
      <c r="D53" s="6"/>
      <c r="E53" s="6"/>
      <c r="F53" s="4"/>
      <c r="G53" s="4"/>
      <c r="H53" s="3"/>
    </row>
    <row r="54" spans="1:8" ht="15.5" x14ac:dyDescent="0.35">
      <c r="A54" s="17"/>
      <c r="E54" s="25"/>
      <c r="F54" s="2"/>
      <c r="G54" s="2"/>
    </row>
    <row r="55" spans="1:8" ht="15.5" x14ac:dyDescent="0.35">
      <c r="A55" s="17"/>
      <c r="E55" s="25"/>
      <c r="F55" s="23"/>
      <c r="G55" s="23"/>
    </row>
    <row r="56" spans="1:8" ht="15.5" x14ac:dyDescent="0.35">
      <c r="A56" s="17"/>
      <c r="E56" s="25"/>
      <c r="F56" s="2"/>
      <c r="G56" s="2"/>
    </row>
    <row r="57" spans="1:8" ht="15.5" x14ac:dyDescent="0.35">
      <c r="A57" s="17"/>
      <c r="E57" s="25"/>
    </row>
    <row r="58" spans="1:8" ht="15.5" x14ac:dyDescent="0.35">
      <c r="A58" s="17"/>
      <c r="E58" s="25"/>
      <c r="F58" s="2"/>
      <c r="G58" s="2"/>
    </row>
    <row r="59" spans="1:8" x14ac:dyDescent="0.35">
      <c r="A59" s="23"/>
      <c r="E59" s="25"/>
    </row>
    <row r="60" spans="1:8" x14ac:dyDescent="0.35">
      <c r="A60" s="23"/>
      <c r="E60" s="25"/>
    </row>
    <row r="61" spans="1:8" ht="15.5" x14ac:dyDescent="0.35">
      <c r="A61" s="17"/>
      <c r="E61" s="25"/>
    </row>
    <row r="62" spans="1:8" ht="15.5" x14ac:dyDescent="0.35">
      <c r="A62" s="17"/>
    </row>
    <row r="63" spans="1:8" ht="15.5" x14ac:dyDescent="0.35">
      <c r="A63" s="17"/>
      <c r="E63" s="25"/>
    </row>
    <row r="64" spans="1:8" ht="15.5" x14ac:dyDescent="0.35">
      <c r="A64" s="17"/>
      <c r="E64" s="25"/>
    </row>
    <row r="65" spans="1:5" ht="15.5" x14ac:dyDescent="0.35">
      <c r="A65" s="17"/>
    </row>
    <row r="66" spans="1:5" ht="15.5" x14ac:dyDescent="0.35">
      <c r="A66" s="17"/>
      <c r="E66" s="25"/>
    </row>
    <row r="67" spans="1:5" ht="15.5" x14ac:dyDescent="0.35">
      <c r="A67" s="17"/>
      <c r="E67" s="25"/>
    </row>
    <row r="68" spans="1:5" x14ac:dyDescent="0.35">
      <c r="E68" s="25"/>
    </row>
    <row r="69" spans="1:5" ht="15.5" x14ac:dyDescent="0.35">
      <c r="A69" s="17"/>
      <c r="E69" s="25"/>
    </row>
    <row r="70" spans="1:5" ht="15.5" x14ac:dyDescent="0.35">
      <c r="A70" s="17"/>
      <c r="E70" s="25"/>
    </row>
    <row r="71" spans="1:5" x14ac:dyDescent="0.35">
      <c r="E71" s="25"/>
    </row>
    <row r="72" spans="1:5" x14ac:dyDescent="0.35">
      <c r="A72" s="23"/>
      <c r="E72" s="25"/>
    </row>
  </sheetData>
  <mergeCells count="4">
    <mergeCell ref="O12:S20"/>
    <mergeCell ref="K11:M11"/>
    <mergeCell ref="E11:J11"/>
    <mergeCell ref="J2:K2"/>
  </mergeCells>
  <pageMargins left="0.7" right="0.7" top="0.75" bottom="0.75" header="0.3" footer="0.3"/>
  <pageSetup paperSize="9" scale="49" orientation="landscape" r:id="rId1"/>
  <headerFooter>
    <oddHeader xml:space="preserve">&amp;L&amp;G&amp;C&amp;"-,Gras"&amp;16&amp;K00-031Centre de Recherche Clinique&amp;KE4008C
SUIVI GLOBAL d'un Essai Clinique&amp;R&amp;9Réf : ICM-ENR-452
Version : 002 
Date d’application : Sept 2020 
Page : &amp;P/&amp;N
</oddHeader>
    <oddFooter>&amp;C&amp;"-,Italique"&amp;9Assurez-vous que ce document imprimé correspond bien à la dernière version en vigueur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J26"/>
  <sheetViews>
    <sheetView tabSelected="1" topLeftCell="AR1" zoomScale="55" zoomScaleNormal="55" workbookViewId="0">
      <selection activeCell="BH3" sqref="BH3"/>
    </sheetView>
  </sheetViews>
  <sheetFormatPr baseColWidth="10" defaultRowHeight="14.5" x14ac:dyDescent="0.35"/>
  <cols>
    <col min="19" max="21" width="10.81640625" style="390"/>
    <col min="56" max="56" width="10.81640625" style="390"/>
    <col min="59" max="59" width="10.81640625" style="390"/>
  </cols>
  <sheetData>
    <row r="1" spans="1:60" s="193" customFormat="1" ht="18" customHeight="1" thickBot="1" x14ac:dyDescent="0.4">
      <c r="A1" s="434" t="s">
        <v>0</v>
      </c>
      <c r="B1" s="436" t="s">
        <v>1</v>
      </c>
      <c r="C1" s="436" t="s">
        <v>38</v>
      </c>
      <c r="D1" s="438" t="s">
        <v>40</v>
      </c>
      <c r="E1" s="377"/>
      <c r="G1" s="250"/>
      <c r="H1" s="250"/>
      <c r="I1" s="250"/>
      <c r="J1" s="250"/>
      <c r="O1" s="323"/>
      <c r="P1" s="314"/>
      <c r="Q1" s="314"/>
      <c r="R1" s="314"/>
      <c r="S1" s="386"/>
      <c r="T1" s="386"/>
      <c r="U1" s="386"/>
      <c r="V1" s="314"/>
      <c r="W1" s="314"/>
      <c r="X1" s="314"/>
      <c r="Y1" s="314"/>
      <c r="Z1" s="314"/>
      <c r="AA1" s="314"/>
      <c r="AB1" s="314"/>
      <c r="AC1" s="440" t="s">
        <v>285</v>
      </c>
      <c r="AD1" s="432" t="s">
        <v>295</v>
      </c>
      <c r="AE1" s="433"/>
      <c r="AF1" s="432" t="s">
        <v>284</v>
      </c>
      <c r="AG1" s="433"/>
      <c r="AH1" s="432" t="s">
        <v>147</v>
      </c>
      <c r="AI1" s="433"/>
      <c r="AJ1" s="432" t="s">
        <v>154</v>
      </c>
      <c r="AK1" s="433"/>
      <c r="AL1" s="432" t="s">
        <v>290</v>
      </c>
      <c r="AM1" s="433"/>
      <c r="AN1" s="432" t="s">
        <v>296</v>
      </c>
      <c r="AO1" s="433"/>
      <c r="AP1" s="432" t="s">
        <v>190</v>
      </c>
      <c r="AQ1" s="433"/>
      <c r="AR1" s="432" t="s">
        <v>94</v>
      </c>
      <c r="AS1" s="433"/>
      <c r="AT1" s="432" t="s">
        <v>95</v>
      </c>
      <c r="AU1" s="433"/>
      <c r="AV1" s="432" t="s">
        <v>355</v>
      </c>
      <c r="AW1" s="433"/>
      <c r="AX1" s="432" t="s">
        <v>356</v>
      </c>
      <c r="AY1" s="433"/>
      <c r="AZ1" s="337" t="s">
        <v>459</v>
      </c>
      <c r="BA1" s="337" t="s">
        <v>458</v>
      </c>
      <c r="BD1" s="391" t="s">
        <v>906</v>
      </c>
      <c r="BE1" s="337" t="s">
        <v>910</v>
      </c>
      <c r="BG1" s="391" t="s">
        <v>909</v>
      </c>
      <c r="BH1" s="337" t="s">
        <v>912</v>
      </c>
    </row>
    <row r="2" spans="1:60" s="184" customFormat="1" ht="62.5" thickBot="1" x14ac:dyDescent="0.4">
      <c r="A2" s="435"/>
      <c r="B2" s="437"/>
      <c r="C2" s="437"/>
      <c r="D2" s="439"/>
      <c r="E2" s="378" t="s">
        <v>886</v>
      </c>
      <c r="F2" s="250" t="s">
        <v>145</v>
      </c>
      <c r="G2" s="251" t="s">
        <v>881</v>
      </c>
      <c r="H2" s="251" t="s">
        <v>547</v>
      </c>
      <c r="I2" s="251" t="s">
        <v>900</v>
      </c>
      <c r="J2" s="251" t="s">
        <v>507</v>
      </c>
      <c r="K2" s="314" t="s">
        <v>391</v>
      </c>
      <c r="L2" s="314" t="s">
        <v>408</v>
      </c>
      <c r="M2" s="314" t="s">
        <v>417</v>
      </c>
      <c r="N2" s="314" t="s">
        <v>418</v>
      </c>
      <c r="O2" s="323" t="s">
        <v>426</v>
      </c>
      <c r="P2" s="323" t="s">
        <v>427</v>
      </c>
      <c r="Q2" s="323" t="s">
        <v>428</v>
      </c>
      <c r="R2" s="323" t="s">
        <v>429</v>
      </c>
      <c r="S2" s="387" t="s">
        <v>430</v>
      </c>
      <c r="T2" s="390" t="s">
        <v>913</v>
      </c>
      <c r="U2" s="387" t="s">
        <v>431</v>
      </c>
      <c r="V2" s="326" t="s">
        <v>432</v>
      </c>
      <c r="W2" s="326" t="s">
        <v>433</v>
      </c>
      <c r="X2" s="326" t="s">
        <v>434</v>
      </c>
      <c r="Y2" s="333" t="s">
        <v>435</v>
      </c>
      <c r="Z2" s="333" t="s">
        <v>452</v>
      </c>
      <c r="AA2" s="333" t="s">
        <v>436</v>
      </c>
      <c r="AB2" s="333" t="s">
        <v>910</v>
      </c>
      <c r="AC2" s="441"/>
      <c r="AD2" s="189" t="s">
        <v>287</v>
      </c>
      <c r="AE2" s="188" t="s">
        <v>288</v>
      </c>
      <c r="AF2" s="189" t="s">
        <v>287</v>
      </c>
      <c r="AG2" s="244" t="s">
        <v>288</v>
      </c>
      <c r="AH2" s="187" t="s">
        <v>287</v>
      </c>
      <c r="AI2" s="188" t="s">
        <v>288</v>
      </c>
      <c r="AJ2" s="194" t="s">
        <v>287</v>
      </c>
      <c r="AK2" s="188" t="s">
        <v>288</v>
      </c>
      <c r="AL2" s="194" t="s">
        <v>287</v>
      </c>
      <c r="AM2" s="244" t="s">
        <v>288</v>
      </c>
      <c r="AN2" s="187" t="s">
        <v>287</v>
      </c>
      <c r="AO2" s="244" t="s">
        <v>288</v>
      </c>
      <c r="AP2" s="187" t="s">
        <v>287</v>
      </c>
      <c r="AQ2" s="244" t="s">
        <v>288</v>
      </c>
      <c r="AR2" s="187" t="s">
        <v>287</v>
      </c>
      <c r="AS2" s="244" t="s">
        <v>288</v>
      </c>
      <c r="AT2" s="185"/>
      <c r="AU2" s="274"/>
      <c r="AV2" s="185"/>
      <c r="AW2" s="274"/>
      <c r="AX2" s="185"/>
      <c r="AY2" s="186"/>
      <c r="BD2" s="392"/>
      <c r="BG2" s="392"/>
    </row>
    <row r="3" spans="1:60" x14ac:dyDescent="0.35">
      <c r="A3" s="172" t="s">
        <v>149</v>
      </c>
      <c r="B3" s="173" t="s">
        <v>150</v>
      </c>
      <c r="C3" s="201" t="s">
        <v>151</v>
      </c>
      <c r="D3" s="210" t="s">
        <v>152</v>
      </c>
      <c r="E3" s="380" t="s">
        <v>887</v>
      </c>
      <c r="F3" s="214" t="s">
        <v>299</v>
      </c>
      <c r="G3" s="212" t="s">
        <v>882</v>
      </c>
      <c r="H3" s="212" t="s">
        <v>882</v>
      </c>
      <c r="I3" s="212" t="s">
        <v>882</v>
      </c>
      <c r="J3" s="212" t="s">
        <v>37</v>
      </c>
      <c r="K3" s="315">
        <v>140</v>
      </c>
      <c r="L3" s="315">
        <v>9.4</v>
      </c>
      <c r="M3" s="315">
        <v>0</v>
      </c>
      <c r="N3" s="315">
        <v>2459.6999999999998</v>
      </c>
      <c r="O3" s="324">
        <v>0</v>
      </c>
      <c r="P3" s="324">
        <v>0</v>
      </c>
      <c r="Q3" s="324">
        <v>0</v>
      </c>
      <c r="R3" s="324">
        <v>0</v>
      </c>
      <c r="S3" s="388" t="s">
        <v>37</v>
      </c>
      <c r="T3" s="388" t="s">
        <v>37</v>
      </c>
      <c r="U3" s="388" t="s">
        <v>37</v>
      </c>
      <c r="V3" s="328" t="s">
        <v>37</v>
      </c>
      <c r="W3" s="341" t="s">
        <v>37</v>
      </c>
      <c r="X3" s="341" t="s">
        <v>37</v>
      </c>
      <c r="Y3" s="328" t="s">
        <v>466</v>
      </c>
      <c r="Z3" s="328" t="s">
        <v>467</v>
      </c>
      <c r="AA3" s="328" t="s">
        <v>468</v>
      </c>
      <c r="AB3" s="328" t="s">
        <v>911</v>
      </c>
      <c r="AC3" s="217" t="s">
        <v>170</v>
      </c>
      <c r="AD3" s="175" t="s">
        <v>153</v>
      </c>
      <c r="AE3" s="170" t="s">
        <v>37</v>
      </c>
      <c r="AF3" s="171">
        <v>45274</v>
      </c>
      <c r="AG3" s="243" t="s">
        <v>111</v>
      </c>
      <c r="AH3" s="177">
        <v>45344</v>
      </c>
      <c r="AI3" s="170" t="s">
        <v>111</v>
      </c>
      <c r="AJ3" s="278">
        <v>45414</v>
      </c>
      <c r="AK3" s="196" t="s">
        <v>289</v>
      </c>
      <c r="AL3" s="443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338">
        <v>45982</v>
      </c>
      <c r="BA3" t="s">
        <v>461</v>
      </c>
      <c r="BD3" s="390">
        <f>DATEDIF(AC3,AJ3,"d")</f>
        <v>204</v>
      </c>
      <c r="BE3">
        <v>1</v>
      </c>
      <c r="BG3" s="390">
        <f>DATEDIF(AC3,AZ3,"d")</f>
        <v>772</v>
      </c>
      <c r="BH3">
        <v>1</v>
      </c>
    </row>
    <row r="4" spans="1:60" x14ac:dyDescent="0.35">
      <c r="A4" s="172" t="s">
        <v>142</v>
      </c>
      <c r="B4" s="173" t="s">
        <v>143</v>
      </c>
      <c r="C4" s="201" t="s">
        <v>144</v>
      </c>
      <c r="D4" s="210" t="s">
        <v>172</v>
      </c>
      <c r="E4" s="380" t="s">
        <v>888</v>
      </c>
      <c r="F4" s="214" t="s">
        <v>299</v>
      </c>
      <c r="G4" s="212" t="s">
        <v>882</v>
      </c>
      <c r="H4" s="212" t="s">
        <v>882</v>
      </c>
      <c r="I4" s="212" t="s">
        <v>882</v>
      </c>
      <c r="J4" s="212" t="s">
        <v>37</v>
      </c>
      <c r="K4" s="315">
        <v>69.2</v>
      </c>
      <c r="L4" s="315">
        <v>0</v>
      </c>
      <c r="M4" s="315">
        <v>0</v>
      </c>
      <c r="N4" s="315">
        <v>16</v>
      </c>
      <c r="O4" s="324">
        <v>0</v>
      </c>
      <c r="P4" s="324">
        <v>0</v>
      </c>
      <c r="Q4" s="324">
        <v>0</v>
      </c>
      <c r="R4" s="324">
        <v>0</v>
      </c>
      <c r="S4" s="388">
        <v>200</v>
      </c>
      <c r="T4" s="388" t="s">
        <v>914</v>
      </c>
      <c r="U4" s="388">
        <v>0</v>
      </c>
      <c r="V4" s="328">
        <v>200</v>
      </c>
      <c r="W4" s="341">
        <v>170</v>
      </c>
      <c r="X4" s="341">
        <v>35</v>
      </c>
      <c r="Y4" s="328" t="s">
        <v>409</v>
      </c>
      <c r="Z4" s="328" t="s">
        <v>409</v>
      </c>
      <c r="AA4" s="328" t="s">
        <v>409</v>
      </c>
      <c r="AB4" s="328" t="s">
        <v>409</v>
      </c>
      <c r="AC4" s="217" t="s">
        <v>175</v>
      </c>
      <c r="AD4" s="175" t="s">
        <v>176</v>
      </c>
      <c r="AE4" s="170" t="s">
        <v>37</v>
      </c>
      <c r="AF4" s="171">
        <v>44930</v>
      </c>
      <c r="AG4" s="243" t="s">
        <v>191</v>
      </c>
      <c r="AH4" s="195">
        <v>45350</v>
      </c>
      <c r="AI4" s="196" t="s">
        <v>289</v>
      </c>
      <c r="AJ4" s="442"/>
      <c r="AK4" s="442"/>
      <c r="AL4" s="442"/>
      <c r="AM4" s="442"/>
      <c r="AN4" s="442"/>
      <c r="AO4" s="442"/>
      <c r="AP4" s="442"/>
      <c r="AQ4" s="442"/>
      <c r="AR4" s="442"/>
      <c r="AS4" s="442"/>
      <c r="AT4" s="442"/>
      <c r="AU4" s="442"/>
      <c r="AV4" s="445"/>
      <c r="AW4" s="445"/>
      <c r="AX4" s="445"/>
      <c r="AY4" s="445"/>
      <c r="AZ4" s="338">
        <v>45408</v>
      </c>
      <c r="BA4" t="s">
        <v>461</v>
      </c>
      <c r="BD4" s="390">
        <f>DATEDIF(AC4,AH4,"d")</f>
        <v>118</v>
      </c>
      <c r="BE4">
        <v>1</v>
      </c>
      <c r="BG4" s="390">
        <f t="shared" ref="BG4:BG26" si="0">DATEDIF(AC4,AZ4,"d")</f>
        <v>176</v>
      </c>
      <c r="BH4">
        <v>1</v>
      </c>
    </row>
    <row r="5" spans="1:60" x14ac:dyDescent="0.35">
      <c r="A5" s="172" t="s">
        <v>155</v>
      </c>
      <c r="B5" s="173" t="s">
        <v>116</v>
      </c>
      <c r="C5" s="201" t="s">
        <v>156</v>
      </c>
      <c r="D5" s="210" t="s">
        <v>173</v>
      </c>
      <c r="E5" s="380" t="s">
        <v>889</v>
      </c>
      <c r="F5" s="214" t="s">
        <v>299</v>
      </c>
      <c r="G5" s="375" t="s">
        <v>884</v>
      </c>
      <c r="H5" s="375" t="s">
        <v>884</v>
      </c>
      <c r="I5" s="375" t="s">
        <v>884</v>
      </c>
      <c r="J5" s="212" t="s">
        <v>37</v>
      </c>
      <c r="K5" s="315">
        <v>54</v>
      </c>
      <c r="L5" s="315">
        <v>0</v>
      </c>
      <c r="M5" s="315">
        <v>0</v>
      </c>
      <c r="N5" s="217" t="s">
        <v>37</v>
      </c>
      <c r="O5" s="324">
        <v>0</v>
      </c>
      <c r="P5" s="324">
        <v>0</v>
      </c>
      <c r="Q5" s="217" t="s">
        <v>37</v>
      </c>
      <c r="R5" s="217" t="s">
        <v>37</v>
      </c>
      <c r="S5" s="388">
        <v>55</v>
      </c>
      <c r="T5" s="388" t="s">
        <v>915</v>
      </c>
      <c r="U5" s="388">
        <v>97.5</v>
      </c>
      <c r="V5" s="328">
        <v>0.5641025641025641</v>
      </c>
      <c r="W5" s="341" t="s">
        <v>37</v>
      </c>
      <c r="X5" s="341" t="s">
        <v>37</v>
      </c>
      <c r="Y5" s="328" t="s">
        <v>409</v>
      </c>
      <c r="Z5" s="328" t="s">
        <v>409</v>
      </c>
      <c r="AA5" s="328" t="s">
        <v>409</v>
      </c>
      <c r="AB5" s="328" t="s">
        <v>409</v>
      </c>
      <c r="AC5" s="217" t="s">
        <v>175</v>
      </c>
      <c r="AD5" s="175" t="s">
        <v>189</v>
      </c>
      <c r="AE5" s="170" t="s">
        <v>37</v>
      </c>
      <c r="AF5" s="171">
        <v>45301</v>
      </c>
      <c r="AG5" s="243" t="s">
        <v>191</v>
      </c>
      <c r="AH5" s="171">
        <v>45357</v>
      </c>
      <c r="AI5" s="170" t="s">
        <v>191</v>
      </c>
      <c r="AJ5" s="190">
        <v>45392</v>
      </c>
      <c r="AK5" s="170" t="s">
        <v>191</v>
      </c>
      <c r="AL5" s="190">
        <v>45462</v>
      </c>
      <c r="AM5" s="243" t="s">
        <v>191</v>
      </c>
      <c r="AN5" s="220">
        <v>45514</v>
      </c>
      <c r="AO5" s="243" t="s">
        <v>191</v>
      </c>
      <c r="AP5" s="200">
        <v>45609</v>
      </c>
      <c r="AQ5" s="243" t="s">
        <v>191</v>
      </c>
      <c r="AR5" s="200">
        <v>45686</v>
      </c>
      <c r="AS5" s="254"/>
      <c r="AT5" s="307">
        <v>45795</v>
      </c>
      <c r="AU5" s="245" t="s">
        <v>375</v>
      </c>
      <c r="AV5" s="446"/>
      <c r="AW5" s="446"/>
      <c r="AX5" s="446"/>
      <c r="AY5" s="446"/>
      <c r="AZ5" s="338">
        <v>45795</v>
      </c>
      <c r="BA5" t="s">
        <v>461</v>
      </c>
      <c r="BD5" s="390">
        <f>DATEDIF(AC5,AT5,"d")</f>
        <v>563</v>
      </c>
      <c r="BE5">
        <v>1</v>
      </c>
      <c r="BG5" s="390">
        <f t="shared" si="0"/>
        <v>563</v>
      </c>
      <c r="BH5">
        <v>1</v>
      </c>
    </row>
    <row r="6" spans="1:60" x14ac:dyDescent="0.35">
      <c r="A6" s="172" t="s">
        <v>182</v>
      </c>
      <c r="B6" s="173" t="s">
        <v>183</v>
      </c>
      <c r="C6" s="201" t="s">
        <v>184</v>
      </c>
      <c r="D6" s="210" t="s">
        <v>181</v>
      </c>
      <c r="E6" s="380" t="s">
        <v>889</v>
      </c>
      <c r="F6" s="214" t="s">
        <v>299</v>
      </c>
      <c r="G6" s="212" t="s">
        <v>882</v>
      </c>
      <c r="H6" s="212" t="s">
        <v>883</v>
      </c>
      <c r="I6" s="212" t="s">
        <v>882</v>
      </c>
      <c r="J6" s="212" t="s">
        <v>816</v>
      </c>
      <c r="K6" s="315">
        <v>0</v>
      </c>
      <c r="L6" s="315">
        <v>0</v>
      </c>
      <c r="M6" s="315">
        <v>0</v>
      </c>
      <c r="N6" s="217" t="s">
        <v>439</v>
      </c>
      <c r="O6" s="324">
        <v>0</v>
      </c>
      <c r="P6" s="324">
        <v>0</v>
      </c>
      <c r="Q6" s="217" t="s">
        <v>409</v>
      </c>
      <c r="R6" s="217" t="s">
        <v>409</v>
      </c>
      <c r="S6" s="388">
        <v>65</v>
      </c>
      <c r="T6" s="388" t="s">
        <v>915</v>
      </c>
      <c r="U6" s="388">
        <v>87.5</v>
      </c>
      <c r="V6" s="328">
        <v>0.74285714285714288</v>
      </c>
      <c r="W6" s="341" t="s">
        <v>37</v>
      </c>
      <c r="X6" s="341" t="s">
        <v>37</v>
      </c>
      <c r="Y6" s="328" t="s">
        <v>470</v>
      </c>
      <c r="Z6" s="328" t="s">
        <v>471</v>
      </c>
      <c r="AA6" s="328" t="s">
        <v>472</v>
      </c>
      <c r="AB6" s="328" t="s">
        <v>911</v>
      </c>
      <c r="AC6" s="217" t="s">
        <v>185</v>
      </c>
      <c r="AD6" s="175" t="s">
        <v>187</v>
      </c>
      <c r="AE6" s="170" t="s">
        <v>37</v>
      </c>
      <c r="AF6" s="171">
        <v>45316</v>
      </c>
      <c r="AG6" s="243" t="s">
        <v>191</v>
      </c>
      <c r="AH6" s="171">
        <v>45407</v>
      </c>
      <c r="AI6" s="170" t="s">
        <v>191</v>
      </c>
      <c r="AJ6" s="280">
        <v>45490</v>
      </c>
      <c r="AK6" s="169" t="s">
        <v>191</v>
      </c>
      <c r="AL6" s="238">
        <v>45574</v>
      </c>
      <c r="AM6" s="266" t="s">
        <v>191</v>
      </c>
      <c r="AN6" s="200">
        <v>45652</v>
      </c>
      <c r="AO6" s="254"/>
      <c r="AP6" s="171">
        <v>45826</v>
      </c>
      <c r="AQ6" s="254"/>
      <c r="AR6" s="195">
        <v>45903</v>
      </c>
      <c r="AS6" s="245" t="s">
        <v>289</v>
      </c>
      <c r="AT6" s="443"/>
      <c r="AU6" s="444"/>
      <c r="AV6" s="444"/>
      <c r="AW6" s="444"/>
      <c r="AX6" s="444"/>
      <c r="AY6" s="447"/>
      <c r="AZ6" s="338">
        <v>46048</v>
      </c>
      <c r="BA6" t="s">
        <v>461</v>
      </c>
      <c r="BD6" s="390">
        <f>DATEDIF(AC6,AR6,"d")</f>
        <v>650</v>
      </c>
      <c r="BE6">
        <v>1</v>
      </c>
      <c r="BG6" s="390">
        <f t="shared" si="0"/>
        <v>795</v>
      </c>
      <c r="BH6">
        <v>1</v>
      </c>
    </row>
    <row r="7" spans="1:60" x14ac:dyDescent="0.35">
      <c r="A7" s="172" t="s">
        <v>196</v>
      </c>
      <c r="B7" s="173" t="s">
        <v>194</v>
      </c>
      <c r="C7" s="201" t="s">
        <v>195</v>
      </c>
      <c r="D7" s="210" t="s">
        <v>193</v>
      </c>
      <c r="E7" s="380" t="s">
        <v>888</v>
      </c>
      <c r="F7" s="214" t="s">
        <v>299</v>
      </c>
      <c r="G7" s="212" t="s">
        <v>882</v>
      </c>
      <c r="H7" s="212" t="s">
        <v>882</v>
      </c>
      <c r="I7" s="212" t="s">
        <v>882</v>
      </c>
      <c r="J7" s="212" t="s">
        <v>819</v>
      </c>
      <c r="K7" s="315">
        <v>17.2</v>
      </c>
      <c r="L7" s="315">
        <v>0</v>
      </c>
      <c r="M7" s="315">
        <v>0</v>
      </c>
      <c r="N7" s="217" t="s">
        <v>409</v>
      </c>
      <c r="O7" s="324">
        <v>0</v>
      </c>
      <c r="P7" s="324">
        <v>0</v>
      </c>
      <c r="Q7" s="217" t="s">
        <v>409</v>
      </c>
      <c r="R7" s="217" t="s">
        <v>409</v>
      </c>
      <c r="S7" s="388">
        <v>281.5</v>
      </c>
      <c r="T7" s="388" t="s">
        <v>914</v>
      </c>
      <c r="U7" s="388">
        <v>35</v>
      </c>
      <c r="V7" s="328">
        <v>8.0428571428571427</v>
      </c>
      <c r="W7" s="341"/>
      <c r="X7" s="341"/>
      <c r="Y7" s="328" t="s">
        <v>473</v>
      </c>
      <c r="Z7" s="328" t="s">
        <v>467</v>
      </c>
      <c r="AA7" s="328"/>
      <c r="AB7" s="328" t="s">
        <v>911</v>
      </c>
      <c r="AC7" s="217" t="s">
        <v>197</v>
      </c>
      <c r="AD7" s="175" t="s">
        <v>213</v>
      </c>
      <c r="AE7" s="170" t="s">
        <v>37</v>
      </c>
      <c r="AF7" s="200">
        <v>45397</v>
      </c>
      <c r="AG7" s="266" t="s">
        <v>191</v>
      </c>
      <c r="AH7" s="168">
        <v>45446</v>
      </c>
      <c r="AI7" s="169" t="s">
        <v>191</v>
      </c>
      <c r="AJ7" s="290">
        <v>45524</v>
      </c>
      <c r="AK7" s="169" t="s">
        <v>191</v>
      </c>
      <c r="AL7" s="238">
        <v>45602</v>
      </c>
      <c r="AM7" s="266" t="s">
        <v>191</v>
      </c>
      <c r="AN7" s="200">
        <v>45660</v>
      </c>
      <c r="AO7" s="254"/>
      <c r="AP7" s="171">
        <v>45721</v>
      </c>
      <c r="AQ7" s="254"/>
      <c r="AR7" s="171">
        <v>45812</v>
      </c>
      <c r="AS7" s="254"/>
      <c r="AT7" s="171">
        <v>45875</v>
      </c>
      <c r="AU7" s="254"/>
      <c r="AV7" s="171">
        <v>45995</v>
      </c>
      <c r="AW7" s="254"/>
      <c r="AX7" s="195">
        <v>46043</v>
      </c>
      <c r="AY7" s="196" t="s">
        <v>289</v>
      </c>
      <c r="AZ7" s="338">
        <v>46252</v>
      </c>
      <c r="BA7" t="s">
        <v>460</v>
      </c>
      <c r="BD7" s="390">
        <f>DATEDIF(AC7,AX7,"d")</f>
        <v>714</v>
      </c>
      <c r="BE7">
        <v>1</v>
      </c>
      <c r="BG7" s="393">
        <f t="shared" si="0"/>
        <v>923</v>
      </c>
      <c r="BH7">
        <v>0</v>
      </c>
    </row>
    <row r="8" spans="1:60" x14ac:dyDescent="0.35">
      <c r="A8" s="172" t="s">
        <v>198</v>
      </c>
      <c r="B8" s="173" t="s">
        <v>199</v>
      </c>
      <c r="C8" s="201" t="s">
        <v>200</v>
      </c>
      <c r="D8" s="210" t="s">
        <v>201</v>
      </c>
      <c r="E8" s="380" t="s">
        <v>888</v>
      </c>
      <c r="F8" s="214" t="s">
        <v>299</v>
      </c>
      <c r="G8" s="212" t="s">
        <v>883</v>
      </c>
      <c r="H8" s="212" t="s">
        <v>882</v>
      </c>
      <c r="I8" s="212" t="s">
        <v>882</v>
      </c>
      <c r="J8" s="212" t="s">
        <v>37</v>
      </c>
      <c r="K8" s="315">
        <v>3.1</v>
      </c>
      <c r="L8" s="315">
        <v>0</v>
      </c>
      <c r="M8" s="315">
        <v>0</v>
      </c>
      <c r="N8" s="217" t="s">
        <v>37</v>
      </c>
      <c r="O8" s="324">
        <v>0</v>
      </c>
      <c r="P8" s="324">
        <v>0</v>
      </c>
      <c r="Q8" s="324">
        <v>0</v>
      </c>
      <c r="R8" s="324">
        <v>0</v>
      </c>
      <c r="S8" s="388">
        <v>265</v>
      </c>
      <c r="T8" s="388" t="s">
        <v>914</v>
      </c>
      <c r="U8" s="388">
        <v>100</v>
      </c>
      <c r="V8" s="328">
        <v>2.65</v>
      </c>
      <c r="W8" s="341" t="s">
        <v>37</v>
      </c>
      <c r="X8" s="341" t="s">
        <v>37</v>
      </c>
      <c r="Y8" s="328" t="s">
        <v>409</v>
      </c>
      <c r="Z8" s="328" t="s">
        <v>409</v>
      </c>
      <c r="AA8" s="328" t="s">
        <v>409</v>
      </c>
      <c r="AB8" s="328" t="s">
        <v>409</v>
      </c>
      <c r="AC8" s="217" t="s">
        <v>202</v>
      </c>
      <c r="AD8" s="175" t="s">
        <v>218</v>
      </c>
      <c r="AE8" s="170" t="s">
        <v>37</v>
      </c>
      <c r="AF8" s="171">
        <v>45397</v>
      </c>
      <c r="AG8" s="266" t="s">
        <v>111</v>
      </c>
      <c r="AH8" s="197">
        <v>45419</v>
      </c>
      <c r="AI8" s="245" t="s">
        <v>292</v>
      </c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8"/>
      <c r="AW8" s="448"/>
      <c r="AX8" s="448"/>
      <c r="AY8" s="448"/>
      <c r="AZ8" s="338">
        <v>45856</v>
      </c>
      <c r="BA8" t="s">
        <v>461</v>
      </c>
      <c r="BD8" s="390">
        <f>DATEDIF(AC8,AH8,"d")</f>
        <v>88</v>
      </c>
      <c r="BE8">
        <v>1</v>
      </c>
      <c r="BG8" s="390">
        <f t="shared" si="0"/>
        <v>525</v>
      </c>
      <c r="BH8">
        <v>1</v>
      </c>
    </row>
    <row r="9" spans="1:60" x14ac:dyDescent="0.35">
      <c r="A9" s="172" t="s">
        <v>203</v>
      </c>
      <c r="B9" s="173" t="s">
        <v>204</v>
      </c>
      <c r="C9" s="201" t="s">
        <v>205</v>
      </c>
      <c r="D9" s="210" t="s">
        <v>206</v>
      </c>
      <c r="E9" s="380" t="s">
        <v>889</v>
      </c>
      <c r="F9" s="214" t="s">
        <v>299</v>
      </c>
      <c r="G9" s="375" t="s">
        <v>875</v>
      </c>
      <c r="H9" s="375" t="s">
        <v>875</v>
      </c>
      <c r="I9" s="375" t="s">
        <v>875</v>
      </c>
      <c r="J9" s="212" t="s">
        <v>875</v>
      </c>
      <c r="K9" s="315">
        <v>38.200000000000003</v>
      </c>
      <c r="L9" s="315">
        <v>0</v>
      </c>
      <c r="M9" s="315">
        <v>0</v>
      </c>
      <c r="N9" s="217" t="s">
        <v>875</v>
      </c>
      <c r="O9" s="324">
        <v>0</v>
      </c>
      <c r="P9" s="324">
        <v>0</v>
      </c>
      <c r="Q9" s="217" t="s">
        <v>875</v>
      </c>
      <c r="R9" s="217" t="s">
        <v>875</v>
      </c>
      <c r="S9" s="388">
        <v>52.5</v>
      </c>
      <c r="T9" s="388" t="s">
        <v>915</v>
      </c>
      <c r="U9" s="388">
        <v>110</v>
      </c>
      <c r="V9" s="328">
        <v>0.47727272727272729</v>
      </c>
      <c r="W9" s="341" t="s">
        <v>875</v>
      </c>
      <c r="X9" s="341" t="s">
        <v>875</v>
      </c>
      <c r="Y9" s="341" t="s">
        <v>875</v>
      </c>
      <c r="Z9" s="341" t="s">
        <v>875</v>
      </c>
      <c r="AA9" s="341" t="s">
        <v>875</v>
      </c>
      <c r="AB9" s="341" t="s">
        <v>409</v>
      </c>
      <c r="AC9" s="217" t="s">
        <v>207</v>
      </c>
      <c r="AD9" s="175" t="s">
        <v>219</v>
      </c>
      <c r="AE9" s="170" t="s">
        <v>37</v>
      </c>
      <c r="AF9" s="171">
        <v>45406</v>
      </c>
      <c r="AG9" s="266" t="s">
        <v>191</v>
      </c>
      <c r="AH9" s="168">
        <v>45476</v>
      </c>
      <c r="AI9" s="169" t="s">
        <v>191</v>
      </c>
      <c r="AJ9" s="301">
        <v>45546</v>
      </c>
      <c r="AK9" s="302" t="s">
        <v>191</v>
      </c>
      <c r="AL9" s="301">
        <v>45630</v>
      </c>
      <c r="AM9" s="303" t="s">
        <v>191</v>
      </c>
      <c r="AN9" s="304">
        <v>45707</v>
      </c>
      <c r="AO9" s="254"/>
      <c r="AP9" s="304">
        <v>45805</v>
      </c>
      <c r="AQ9" s="254"/>
      <c r="AR9" s="183">
        <v>45904</v>
      </c>
      <c r="AS9" s="254"/>
      <c r="AT9" s="183">
        <v>46036</v>
      </c>
      <c r="AU9" s="254"/>
      <c r="AV9" s="275"/>
      <c r="AW9" s="271"/>
      <c r="AX9" s="275"/>
      <c r="AY9" s="276"/>
      <c r="AZ9" s="183">
        <v>46141</v>
      </c>
      <c r="BA9" t="s">
        <v>460</v>
      </c>
      <c r="BC9" s="183">
        <v>46141</v>
      </c>
      <c r="BD9" s="393">
        <f>DATEDIF(AC9,BC9,"d")</f>
        <v>804</v>
      </c>
      <c r="BE9">
        <v>0</v>
      </c>
      <c r="BG9" s="393">
        <f>DATEDIF(AC9,AZ9,"d")</f>
        <v>804</v>
      </c>
      <c r="BH9">
        <v>0</v>
      </c>
    </row>
    <row r="10" spans="1:60" x14ac:dyDescent="0.35">
      <c r="A10" s="172" t="s">
        <v>208</v>
      </c>
      <c r="B10" s="173" t="s">
        <v>209</v>
      </c>
      <c r="C10" s="201" t="s">
        <v>210</v>
      </c>
      <c r="D10" s="210" t="s">
        <v>211</v>
      </c>
      <c r="E10" s="380" t="s">
        <v>889</v>
      </c>
      <c r="F10" s="214" t="s">
        <v>299</v>
      </c>
      <c r="G10" s="375" t="s">
        <v>875</v>
      </c>
      <c r="H10" s="375" t="s">
        <v>875</v>
      </c>
      <c r="I10" s="375" t="s">
        <v>875</v>
      </c>
      <c r="J10" s="212" t="s">
        <v>875</v>
      </c>
      <c r="K10" s="315">
        <v>0</v>
      </c>
      <c r="L10" s="315">
        <v>0</v>
      </c>
      <c r="M10" s="315">
        <v>0</v>
      </c>
      <c r="N10" s="217" t="s">
        <v>875</v>
      </c>
      <c r="O10" s="324">
        <v>2</v>
      </c>
      <c r="P10" s="324">
        <v>0</v>
      </c>
      <c r="Q10" s="217" t="s">
        <v>875</v>
      </c>
      <c r="R10" s="217" t="s">
        <v>875</v>
      </c>
      <c r="S10" s="388">
        <v>5</v>
      </c>
      <c r="T10" s="388" t="s">
        <v>915</v>
      </c>
      <c r="U10" s="388">
        <v>20</v>
      </c>
      <c r="V10" s="328">
        <v>0.25</v>
      </c>
      <c r="W10" s="341" t="s">
        <v>875</v>
      </c>
      <c r="X10" s="341" t="s">
        <v>875</v>
      </c>
      <c r="Y10" s="341" t="s">
        <v>875</v>
      </c>
      <c r="Z10" s="341" t="s">
        <v>875</v>
      </c>
      <c r="AA10" s="341" t="s">
        <v>875</v>
      </c>
      <c r="AB10" s="341" t="s">
        <v>409</v>
      </c>
      <c r="AC10" s="217" t="s">
        <v>212</v>
      </c>
      <c r="AD10" s="175" t="s">
        <v>220</v>
      </c>
      <c r="AE10" s="170" t="s">
        <v>37</v>
      </c>
      <c r="AF10" s="171">
        <v>45406</v>
      </c>
      <c r="AG10" s="243" t="s">
        <v>191</v>
      </c>
      <c r="AH10" s="171">
        <v>45511</v>
      </c>
      <c r="AI10" s="170" t="s">
        <v>191</v>
      </c>
      <c r="AJ10" s="290">
        <v>45602</v>
      </c>
      <c r="AK10" s="169" t="s">
        <v>293</v>
      </c>
      <c r="AL10" s="238">
        <v>45700</v>
      </c>
      <c r="AM10" s="254"/>
      <c r="AN10" s="200">
        <v>45791</v>
      </c>
      <c r="AO10" s="254"/>
      <c r="AP10" s="171">
        <v>45883</v>
      </c>
      <c r="AQ10" s="254"/>
      <c r="AR10" s="171">
        <v>45987</v>
      </c>
      <c r="AS10" s="254"/>
      <c r="AT10" s="306">
        <v>46106</v>
      </c>
      <c r="AU10" s="283"/>
      <c r="AV10" s="275"/>
      <c r="AW10" s="271"/>
      <c r="AX10" s="275"/>
      <c r="AY10" s="276"/>
      <c r="AZ10" s="306">
        <v>46239</v>
      </c>
      <c r="BA10" t="s">
        <v>460</v>
      </c>
      <c r="BC10" s="338">
        <v>46181</v>
      </c>
      <c r="BD10" s="394">
        <f>DATEDIF(AC10,BC10,"d")</f>
        <v>837</v>
      </c>
      <c r="BE10">
        <v>1</v>
      </c>
      <c r="BG10" s="393">
        <f t="shared" si="0"/>
        <v>895</v>
      </c>
      <c r="BH10">
        <v>0</v>
      </c>
    </row>
    <row r="11" spans="1:60" x14ac:dyDescent="0.35">
      <c r="A11" s="172" t="s">
        <v>215</v>
      </c>
      <c r="B11" s="173" t="s">
        <v>216</v>
      </c>
      <c r="C11" s="201" t="s">
        <v>217</v>
      </c>
      <c r="D11" s="210" t="s">
        <v>224</v>
      </c>
      <c r="E11" s="380" t="s">
        <v>889</v>
      </c>
      <c r="F11" s="214" t="s">
        <v>299</v>
      </c>
      <c r="G11" s="375" t="s">
        <v>37</v>
      </c>
      <c r="H11" s="212" t="s">
        <v>882</v>
      </c>
      <c r="I11" s="212" t="s">
        <v>882</v>
      </c>
      <c r="J11" s="212" t="s">
        <v>37</v>
      </c>
      <c r="K11" s="315">
        <v>28.1</v>
      </c>
      <c r="L11" s="315">
        <v>0</v>
      </c>
      <c r="M11" s="315">
        <v>0</v>
      </c>
      <c r="N11" s="217" t="s">
        <v>876</v>
      </c>
      <c r="O11" s="324">
        <v>0</v>
      </c>
      <c r="P11" s="324">
        <v>0</v>
      </c>
      <c r="Q11" s="217" t="s">
        <v>37</v>
      </c>
      <c r="R11" s="217" t="s">
        <v>37</v>
      </c>
      <c r="S11" s="388">
        <v>277.5</v>
      </c>
      <c r="T11" s="388" t="s">
        <v>914</v>
      </c>
      <c r="U11" s="388">
        <v>50</v>
      </c>
      <c r="V11" s="328">
        <v>5.55</v>
      </c>
      <c r="W11" s="341" t="s">
        <v>37</v>
      </c>
      <c r="X11" s="341" t="s">
        <v>37</v>
      </c>
      <c r="Y11" s="328" t="s">
        <v>477</v>
      </c>
      <c r="Z11" s="328" t="s">
        <v>467</v>
      </c>
      <c r="AA11" s="328"/>
      <c r="AB11" s="328" t="s">
        <v>911</v>
      </c>
      <c r="AC11" s="217" t="s">
        <v>225</v>
      </c>
      <c r="AD11" s="175" t="s">
        <v>221</v>
      </c>
      <c r="AE11" s="170" t="s">
        <v>37</v>
      </c>
      <c r="AF11" s="171">
        <v>45428</v>
      </c>
      <c r="AG11" s="266" t="s">
        <v>293</v>
      </c>
      <c r="AH11" s="220">
        <v>45498</v>
      </c>
      <c r="AI11" s="169" t="s">
        <v>293</v>
      </c>
      <c r="AJ11" s="238">
        <v>45567</v>
      </c>
      <c r="AK11" s="169" t="s">
        <v>293</v>
      </c>
      <c r="AL11" s="238">
        <v>45638</v>
      </c>
      <c r="AM11" s="254"/>
      <c r="AN11" s="200">
        <v>45722</v>
      </c>
      <c r="AO11" s="254"/>
      <c r="AP11" s="171">
        <v>45812</v>
      </c>
      <c r="AQ11" s="254"/>
      <c r="AR11" s="171">
        <v>45889</v>
      </c>
      <c r="AS11" s="254"/>
      <c r="AT11" s="195">
        <v>46146</v>
      </c>
      <c r="AU11" s="245" t="s">
        <v>289</v>
      </c>
      <c r="AV11" s="171"/>
      <c r="AW11" s="254"/>
      <c r="AX11" s="275"/>
      <c r="AY11" s="276"/>
      <c r="AZ11" s="338">
        <v>46238</v>
      </c>
      <c r="BA11" t="s">
        <v>460</v>
      </c>
      <c r="BD11" s="390">
        <f>DATEDIF(AC11,AT11,"d")</f>
        <v>782</v>
      </c>
      <c r="BE11">
        <v>1</v>
      </c>
      <c r="BG11" s="393">
        <f t="shared" si="0"/>
        <v>874</v>
      </c>
      <c r="BH11">
        <v>0</v>
      </c>
    </row>
    <row r="12" spans="1:60" ht="15" thickBot="1" x14ac:dyDescent="0.4">
      <c r="A12" s="172" t="s">
        <v>244</v>
      </c>
      <c r="B12" s="173" t="s">
        <v>245</v>
      </c>
      <c r="C12" s="201" t="s">
        <v>243</v>
      </c>
      <c r="D12" s="210" t="s">
        <v>262</v>
      </c>
      <c r="E12" s="380" t="s">
        <v>887</v>
      </c>
      <c r="F12" s="214" t="s">
        <v>299</v>
      </c>
      <c r="G12" s="212" t="s">
        <v>882</v>
      </c>
      <c r="H12" s="212" t="s">
        <v>882</v>
      </c>
      <c r="I12" s="212" t="s">
        <v>882</v>
      </c>
      <c r="J12" s="212" t="s">
        <v>873</v>
      </c>
      <c r="K12" s="315">
        <v>161.30000000000001</v>
      </c>
      <c r="L12" s="315">
        <v>0</v>
      </c>
      <c r="M12" s="315">
        <v>0</v>
      </c>
      <c r="N12" s="315">
        <v>62</v>
      </c>
      <c r="O12" s="324">
        <v>0</v>
      </c>
      <c r="P12" s="324">
        <v>0</v>
      </c>
      <c r="Q12" s="324">
        <v>0</v>
      </c>
      <c r="R12" s="324">
        <v>0</v>
      </c>
      <c r="S12" s="388">
        <v>285</v>
      </c>
      <c r="T12" s="388" t="s">
        <v>914</v>
      </c>
      <c r="U12" s="388">
        <v>125</v>
      </c>
      <c r="V12" s="328">
        <v>2.2799999999999998</v>
      </c>
      <c r="W12" s="342">
        <v>255</v>
      </c>
      <c r="X12" s="343">
        <v>10</v>
      </c>
      <c r="Y12" s="328" t="s">
        <v>409</v>
      </c>
      <c r="Z12" s="328" t="s">
        <v>409</v>
      </c>
      <c r="AA12" s="328" t="s">
        <v>409</v>
      </c>
      <c r="AB12" s="328" t="s">
        <v>409</v>
      </c>
      <c r="AC12" s="217" t="s">
        <v>235</v>
      </c>
      <c r="AD12" s="175" t="s">
        <v>264</v>
      </c>
      <c r="AE12" s="170" t="s">
        <v>37</v>
      </c>
      <c r="AF12" s="223">
        <v>45540</v>
      </c>
      <c r="AG12" s="266" t="s">
        <v>191</v>
      </c>
      <c r="AH12" s="171">
        <v>45630</v>
      </c>
      <c r="AI12" s="169" t="s">
        <v>191</v>
      </c>
      <c r="AJ12" s="278">
        <v>45755</v>
      </c>
      <c r="AK12" s="196" t="s">
        <v>289</v>
      </c>
      <c r="AL12" s="449"/>
      <c r="AM12" s="450"/>
      <c r="AN12" s="450"/>
      <c r="AO12" s="450"/>
      <c r="AP12" s="450"/>
      <c r="AQ12" s="450"/>
      <c r="AR12" s="450"/>
      <c r="AS12" s="450"/>
      <c r="AT12" s="450"/>
      <c r="AU12" s="450"/>
      <c r="AV12" s="450"/>
      <c r="AW12" s="450"/>
      <c r="AX12" s="450"/>
      <c r="AY12" s="451"/>
      <c r="AZ12" s="338">
        <v>45870</v>
      </c>
      <c r="BA12" t="s">
        <v>461</v>
      </c>
      <c r="BD12" s="390">
        <f>DATEDIF(AC12,AJ12,"d")</f>
        <v>279</v>
      </c>
      <c r="BE12">
        <v>1</v>
      </c>
      <c r="BG12" s="390">
        <f t="shared" si="0"/>
        <v>394</v>
      </c>
      <c r="BH12">
        <v>1</v>
      </c>
    </row>
    <row r="13" spans="1:60" x14ac:dyDescent="0.35">
      <c r="A13" s="172" t="s">
        <v>272</v>
      </c>
      <c r="B13" s="173" t="s">
        <v>273</v>
      </c>
      <c r="C13" s="201" t="s">
        <v>274</v>
      </c>
      <c r="D13" s="210" t="s">
        <v>278</v>
      </c>
      <c r="E13" s="380" t="s">
        <v>889</v>
      </c>
      <c r="F13" s="214" t="s">
        <v>299</v>
      </c>
      <c r="G13" s="212" t="s">
        <v>883</v>
      </c>
      <c r="H13" s="212" t="s">
        <v>882</v>
      </c>
      <c r="I13" s="212" t="s">
        <v>882</v>
      </c>
      <c r="J13" s="212" t="s">
        <v>37</v>
      </c>
      <c r="K13" s="315">
        <v>585.70000000000005</v>
      </c>
      <c r="L13" s="315">
        <v>276.39999999999998</v>
      </c>
      <c r="M13" s="217" t="s">
        <v>37</v>
      </c>
      <c r="N13" s="315">
        <v>108.9</v>
      </c>
      <c r="O13" s="324">
        <v>0</v>
      </c>
      <c r="P13" s="324">
        <v>0</v>
      </c>
      <c r="Q13" s="324">
        <v>0</v>
      </c>
      <c r="R13" s="324">
        <v>0</v>
      </c>
      <c r="S13" s="388">
        <v>293.5</v>
      </c>
      <c r="T13" s="388" t="s">
        <v>914</v>
      </c>
      <c r="U13" s="388">
        <v>200</v>
      </c>
      <c r="V13" s="328">
        <v>1.4675</v>
      </c>
      <c r="W13" s="341" t="s">
        <v>37</v>
      </c>
      <c r="X13" s="341" t="s">
        <v>37</v>
      </c>
      <c r="Y13" s="328" t="s">
        <v>488</v>
      </c>
      <c r="Z13" s="328" t="s">
        <v>490</v>
      </c>
      <c r="AA13" s="328" t="s">
        <v>492</v>
      </c>
      <c r="AB13" s="328" t="s">
        <v>911</v>
      </c>
      <c r="AC13" s="217" t="s">
        <v>265</v>
      </c>
      <c r="AD13" s="222" t="s">
        <v>283</v>
      </c>
      <c r="AE13" s="170" t="s">
        <v>37</v>
      </c>
      <c r="AF13" s="195">
        <v>45560</v>
      </c>
      <c r="AG13" s="245" t="s">
        <v>289</v>
      </c>
      <c r="AH13" s="452"/>
      <c r="AI13" s="452"/>
      <c r="AJ13" s="452"/>
      <c r="AK13" s="452"/>
      <c r="AL13" s="452"/>
      <c r="AM13" s="452"/>
      <c r="AN13" s="452"/>
      <c r="AO13" s="452"/>
      <c r="AP13" s="452"/>
      <c r="AQ13" s="452"/>
      <c r="AR13" s="453"/>
      <c r="AS13" s="453"/>
      <c r="AT13" s="453"/>
      <c r="AU13" s="453"/>
      <c r="AV13" s="453"/>
      <c r="AW13" s="453"/>
      <c r="AX13" s="453"/>
      <c r="AY13" s="453"/>
      <c r="AZ13" s="338">
        <v>45792</v>
      </c>
      <c r="BA13" t="s">
        <v>461</v>
      </c>
      <c r="BD13" s="390">
        <f>DATEDIF(AC13,AF13,"d")</f>
        <v>55</v>
      </c>
      <c r="BE13">
        <v>1</v>
      </c>
      <c r="BG13" s="390">
        <f t="shared" si="0"/>
        <v>287</v>
      </c>
      <c r="BH13">
        <v>1</v>
      </c>
    </row>
    <row r="14" spans="1:60" x14ac:dyDescent="0.35">
      <c r="A14" s="204" t="s">
        <v>301</v>
      </c>
      <c r="B14" s="173" t="s">
        <v>302</v>
      </c>
      <c r="C14" s="201" t="s">
        <v>493</v>
      </c>
      <c r="D14" s="210" t="s">
        <v>307</v>
      </c>
      <c r="E14" s="380" t="s">
        <v>889</v>
      </c>
      <c r="F14" s="214" t="s">
        <v>299</v>
      </c>
      <c r="G14" s="375" t="s">
        <v>37</v>
      </c>
      <c r="H14" s="375" t="s">
        <v>37</v>
      </c>
      <c r="I14" s="375" t="s">
        <v>37</v>
      </c>
      <c r="J14" s="212" t="s">
        <v>819</v>
      </c>
      <c r="K14" s="315">
        <v>88.2</v>
      </c>
      <c r="L14" s="315">
        <v>16.3</v>
      </c>
      <c r="M14" s="315">
        <v>46.4</v>
      </c>
      <c r="N14" s="315">
        <v>39.4</v>
      </c>
      <c r="O14" s="324">
        <v>1</v>
      </c>
      <c r="P14" s="324">
        <v>0</v>
      </c>
      <c r="Q14" s="217" t="s">
        <v>37</v>
      </c>
      <c r="R14" s="217" t="s">
        <v>37</v>
      </c>
      <c r="S14" s="388">
        <v>202</v>
      </c>
      <c r="T14" s="388" t="s">
        <v>914</v>
      </c>
      <c r="U14" s="388">
        <v>130</v>
      </c>
      <c r="V14" s="328">
        <v>1.5538461538461539</v>
      </c>
      <c r="W14" s="345">
        <v>202</v>
      </c>
      <c r="X14" s="346">
        <v>130</v>
      </c>
      <c r="Y14" s="328" t="s">
        <v>409</v>
      </c>
      <c r="Z14" s="328" t="s">
        <v>409</v>
      </c>
      <c r="AA14" s="328" t="s">
        <v>409</v>
      </c>
      <c r="AB14" s="328" t="s">
        <v>409</v>
      </c>
      <c r="AC14" s="218">
        <v>45534</v>
      </c>
      <c r="AD14" s="221">
        <v>45561</v>
      </c>
      <c r="AE14" s="170" t="s">
        <v>37</v>
      </c>
      <c r="AF14" s="246">
        <v>45596</v>
      </c>
      <c r="AG14" s="266" t="s">
        <v>191</v>
      </c>
      <c r="AH14" s="259">
        <v>45635</v>
      </c>
      <c r="AI14" s="260" t="s">
        <v>289</v>
      </c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338">
        <v>45678</v>
      </c>
      <c r="BA14" t="s">
        <v>461</v>
      </c>
      <c r="BC14" s="338"/>
      <c r="BD14" s="390">
        <f>DATEDIF(AC14,AH14,"d")</f>
        <v>101</v>
      </c>
      <c r="BE14">
        <v>1</v>
      </c>
      <c r="BG14" s="390">
        <f t="shared" si="0"/>
        <v>144</v>
      </c>
      <c r="BH14">
        <v>1</v>
      </c>
    </row>
    <row r="15" spans="1:60" x14ac:dyDescent="0.35">
      <c r="A15" s="204" t="s">
        <v>303</v>
      </c>
      <c r="B15" s="173" t="s">
        <v>304</v>
      </c>
      <c r="C15" s="201" t="s">
        <v>890</v>
      </c>
      <c r="D15" s="210" t="s">
        <v>308</v>
      </c>
      <c r="E15" s="380" t="s">
        <v>888</v>
      </c>
      <c r="F15" s="214" t="s">
        <v>299</v>
      </c>
      <c r="G15" s="212" t="s">
        <v>882</v>
      </c>
      <c r="H15" s="212" t="s">
        <v>883</v>
      </c>
      <c r="I15" s="212" t="s">
        <v>883</v>
      </c>
      <c r="J15" s="212" t="s">
        <v>819</v>
      </c>
      <c r="K15" s="315">
        <v>19.7</v>
      </c>
      <c r="L15" s="315">
        <v>0</v>
      </c>
      <c r="M15" s="315">
        <v>0</v>
      </c>
      <c r="N15" s="315">
        <v>0</v>
      </c>
      <c r="O15" s="324">
        <v>0</v>
      </c>
      <c r="P15" s="324">
        <v>0</v>
      </c>
      <c r="Q15" s="324">
        <v>0</v>
      </c>
      <c r="R15" s="324">
        <v>0</v>
      </c>
      <c r="S15" s="388">
        <v>240</v>
      </c>
      <c r="T15" s="388" t="s">
        <v>914</v>
      </c>
      <c r="U15" s="388">
        <v>5</v>
      </c>
      <c r="V15" s="328">
        <v>48</v>
      </c>
      <c r="W15" s="341" t="s">
        <v>37</v>
      </c>
      <c r="X15" s="341" t="s">
        <v>37</v>
      </c>
      <c r="Y15" s="328" t="s">
        <v>495</v>
      </c>
      <c r="Z15" s="328" t="s">
        <v>494</v>
      </c>
      <c r="AA15" s="328" t="s">
        <v>496</v>
      </c>
      <c r="AB15" s="328" t="s">
        <v>911</v>
      </c>
      <c r="AC15" s="218">
        <v>45560</v>
      </c>
      <c r="AD15" s="221">
        <v>45594</v>
      </c>
      <c r="AE15" s="170" t="s">
        <v>37</v>
      </c>
      <c r="AF15" s="246">
        <v>45300</v>
      </c>
      <c r="AG15" s="294" t="s">
        <v>328</v>
      </c>
      <c r="AH15" s="246">
        <v>45705</v>
      </c>
      <c r="AI15" s="240" t="s">
        <v>328</v>
      </c>
      <c r="AJ15" s="298">
        <v>45743</v>
      </c>
      <c r="AK15" s="260" t="s">
        <v>289</v>
      </c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4"/>
      <c r="AX15" s="454"/>
      <c r="AY15" s="454"/>
      <c r="AZ15" s="338">
        <v>45992</v>
      </c>
      <c r="BA15" t="s">
        <v>460</v>
      </c>
      <c r="BD15" s="390">
        <f>DATEDIF(AC15,AJ15,"d")</f>
        <v>183</v>
      </c>
      <c r="BE15">
        <v>1</v>
      </c>
      <c r="BG15" s="393">
        <f t="shared" si="0"/>
        <v>432</v>
      </c>
      <c r="BH15">
        <v>0</v>
      </c>
    </row>
    <row r="16" spans="1:60" x14ac:dyDescent="0.35">
      <c r="A16" s="206" t="s">
        <v>305</v>
      </c>
      <c r="B16" s="207" t="s">
        <v>306</v>
      </c>
      <c r="C16" s="201" t="s">
        <v>891</v>
      </c>
      <c r="D16" s="211" t="s">
        <v>309</v>
      </c>
      <c r="E16" s="380" t="s">
        <v>888</v>
      </c>
      <c r="F16" s="215" t="s">
        <v>299</v>
      </c>
      <c r="G16" s="212" t="s">
        <v>883</v>
      </c>
      <c r="H16" s="212" t="s">
        <v>883</v>
      </c>
      <c r="I16" s="212" t="s">
        <v>882</v>
      </c>
      <c r="J16" s="212" t="s">
        <v>37</v>
      </c>
      <c r="K16" s="316">
        <v>1239.0999999999999</v>
      </c>
      <c r="L16" s="316">
        <v>63.3</v>
      </c>
      <c r="M16" s="316">
        <v>8.1</v>
      </c>
      <c r="N16" s="321" t="s">
        <v>37</v>
      </c>
      <c r="O16" s="324">
        <v>0</v>
      </c>
      <c r="P16" s="324">
        <v>0</v>
      </c>
      <c r="Q16" s="217" t="s">
        <v>37</v>
      </c>
      <c r="R16" s="217" t="s">
        <v>37</v>
      </c>
      <c r="S16" s="389">
        <v>247.5</v>
      </c>
      <c r="T16" s="389" t="s">
        <v>914</v>
      </c>
      <c r="U16" s="389">
        <v>127.5</v>
      </c>
      <c r="V16" s="329">
        <v>1.9411764705882353</v>
      </c>
      <c r="W16" s="344" t="s">
        <v>37</v>
      </c>
      <c r="X16" s="344" t="s">
        <v>37</v>
      </c>
      <c r="Y16" s="329" t="s">
        <v>409</v>
      </c>
      <c r="Z16" s="329" t="s">
        <v>409</v>
      </c>
      <c r="AA16" s="329" t="s">
        <v>409</v>
      </c>
      <c r="AB16" s="329" t="s">
        <v>409</v>
      </c>
      <c r="AC16" s="219">
        <v>45561</v>
      </c>
      <c r="AD16" s="281">
        <v>45610</v>
      </c>
      <c r="AE16" s="170" t="s">
        <v>37</v>
      </c>
      <c r="AF16" s="200">
        <v>45625</v>
      </c>
      <c r="AG16" s="266" t="s">
        <v>191</v>
      </c>
      <c r="AH16" s="307">
        <v>45674</v>
      </c>
      <c r="AI16" s="196" t="s">
        <v>344</v>
      </c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454"/>
      <c r="AU16" s="454"/>
      <c r="AV16" s="454"/>
      <c r="AW16" s="454"/>
      <c r="AX16" s="454"/>
      <c r="AY16" s="454"/>
      <c r="AZ16" s="338">
        <v>45674</v>
      </c>
      <c r="BA16" t="s">
        <v>461</v>
      </c>
      <c r="BD16" s="390">
        <f>DATEDIF(AC16,AH16,"d")</f>
        <v>113</v>
      </c>
      <c r="BE16">
        <v>1</v>
      </c>
      <c r="BG16" s="390">
        <f t="shared" si="0"/>
        <v>113</v>
      </c>
      <c r="BH16">
        <v>1</v>
      </c>
    </row>
    <row r="17" spans="1:114" s="205" customFormat="1" x14ac:dyDescent="0.35">
      <c r="A17" s="204" t="s">
        <v>314</v>
      </c>
      <c r="B17" s="228" t="s">
        <v>315</v>
      </c>
      <c r="C17" s="201" t="s">
        <v>892</v>
      </c>
      <c r="D17" s="229" t="s">
        <v>323</v>
      </c>
      <c r="E17" s="380" t="s">
        <v>889</v>
      </c>
      <c r="F17" s="232" t="s">
        <v>299</v>
      </c>
      <c r="G17" s="212" t="s">
        <v>883</v>
      </c>
      <c r="H17" s="212" t="s">
        <v>882</v>
      </c>
      <c r="I17" s="212" t="s">
        <v>882</v>
      </c>
      <c r="J17" s="212" t="s">
        <v>37</v>
      </c>
      <c r="K17" s="317">
        <v>17.399999999999999</v>
      </c>
      <c r="L17" s="317">
        <v>3.3</v>
      </c>
      <c r="M17" s="317">
        <v>24</v>
      </c>
      <c r="N17" s="317">
        <v>51.1</v>
      </c>
      <c r="O17" s="324">
        <v>1</v>
      </c>
      <c r="P17" s="324">
        <v>0</v>
      </c>
      <c r="Q17" s="324">
        <v>10</v>
      </c>
      <c r="R17" s="324">
        <v>0</v>
      </c>
      <c r="S17" s="388">
        <v>232.5</v>
      </c>
      <c r="T17" s="388" t="s">
        <v>914</v>
      </c>
      <c r="U17" s="388">
        <v>200</v>
      </c>
      <c r="V17" s="330">
        <v>1.1625000000000001</v>
      </c>
      <c r="W17" s="341" t="s">
        <v>37</v>
      </c>
      <c r="X17" s="341" t="s">
        <v>37</v>
      </c>
      <c r="Y17" s="330" t="s">
        <v>500</v>
      </c>
      <c r="Z17" s="330" t="s">
        <v>499</v>
      </c>
      <c r="AA17" s="330" t="s">
        <v>501</v>
      </c>
      <c r="AB17" s="330" t="s">
        <v>911</v>
      </c>
      <c r="AC17" s="234">
        <v>45587</v>
      </c>
      <c r="AD17" s="246">
        <v>45614</v>
      </c>
      <c r="AE17" s="170" t="s">
        <v>37</v>
      </c>
      <c r="AF17" s="246">
        <v>45642</v>
      </c>
      <c r="AG17" s="266" t="s">
        <v>293</v>
      </c>
      <c r="AH17" s="281">
        <v>45702</v>
      </c>
      <c r="AI17" s="257" t="s">
        <v>293</v>
      </c>
      <c r="AJ17" s="299">
        <v>45757</v>
      </c>
      <c r="AK17" s="258" t="s">
        <v>289</v>
      </c>
      <c r="AL17" s="454"/>
      <c r="AM17" s="454"/>
      <c r="AN17" s="454"/>
      <c r="AO17" s="454"/>
      <c r="AP17" s="454"/>
      <c r="AQ17" s="454"/>
      <c r="AR17" s="454"/>
      <c r="AS17" s="454"/>
      <c r="AT17" s="454"/>
      <c r="AU17" s="454"/>
      <c r="AV17" s="454"/>
      <c r="AW17" s="454"/>
      <c r="AX17" s="454"/>
      <c r="AY17" s="454"/>
      <c r="AZ17" s="338">
        <v>46078</v>
      </c>
      <c r="BA17" t="s">
        <v>461</v>
      </c>
      <c r="BC17"/>
      <c r="BD17" s="390">
        <f>DATEDIF(AC17,AJ17,"d")</f>
        <v>170</v>
      </c>
      <c r="BE17">
        <v>1</v>
      </c>
      <c r="BG17" s="390">
        <f t="shared" si="0"/>
        <v>491</v>
      </c>
      <c r="BH17">
        <v>1</v>
      </c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</row>
    <row r="18" spans="1:114" s="208" customFormat="1" ht="15" thickBot="1" x14ac:dyDescent="0.4">
      <c r="A18" s="206" t="s">
        <v>312</v>
      </c>
      <c r="B18" s="235" t="s">
        <v>313</v>
      </c>
      <c r="C18" s="201" t="s">
        <v>893</v>
      </c>
      <c r="D18" s="229" t="s">
        <v>324</v>
      </c>
      <c r="E18" s="380" t="s">
        <v>889</v>
      </c>
      <c r="F18" s="233" t="s">
        <v>299</v>
      </c>
      <c r="G18" s="212" t="s">
        <v>883</v>
      </c>
      <c r="H18" s="212" t="s">
        <v>882</v>
      </c>
      <c r="I18" s="212" t="s">
        <v>882</v>
      </c>
      <c r="J18" s="212" t="s">
        <v>874</v>
      </c>
      <c r="K18" s="318">
        <v>263.3</v>
      </c>
      <c r="L18" s="318">
        <v>156.19999999999999</v>
      </c>
      <c r="M18" s="320" t="s">
        <v>37</v>
      </c>
      <c r="N18" s="318">
        <v>117</v>
      </c>
      <c r="O18" s="324">
        <v>43</v>
      </c>
      <c r="P18" s="324">
        <v>0</v>
      </c>
      <c r="Q18" s="324">
        <v>10</v>
      </c>
      <c r="R18" s="324">
        <v>0</v>
      </c>
      <c r="S18" s="389">
        <v>212.5</v>
      </c>
      <c r="T18" s="389" t="s">
        <v>914</v>
      </c>
      <c r="U18" s="389">
        <v>170</v>
      </c>
      <c r="V18" s="331">
        <v>1.25</v>
      </c>
      <c r="W18" s="347">
        <v>212.5</v>
      </c>
      <c r="X18" s="348">
        <v>170</v>
      </c>
      <c r="Y18" s="331" t="s">
        <v>502</v>
      </c>
      <c r="Z18" s="331" t="s">
        <v>503</v>
      </c>
      <c r="AA18" s="331" t="s">
        <v>504</v>
      </c>
      <c r="AB18" s="331" t="s">
        <v>911</v>
      </c>
      <c r="AC18" s="237">
        <v>45588</v>
      </c>
      <c r="AD18" s="281">
        <v>45610</v>
      </c>
      <c r="AE18" s="170" t="s">
        <v>37</v>
      </c>
      <c r="AF18" s="195">
        <v>45644</v>
      </c>
      <c r="AG18" s="245" t="s">
        <v>289</v>
      </c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454"/>
      <c r="AY18" s="454"/>
      <c r="AZ18" s="338">
        <v>45823</v>
      </c>
      <c r="BA18" t="s">
        <v>461</v>
      </c>
      <c r="BC18"/>
      <c r="BD18" s="390">
        <f>DATEDIF(AC18,AF18,"d")</f>
        <v>56</v>
      </c>
      <c r="BE18">
        <v>1</v>
      </c>
      <c r="BG18" s="390">
        <f t="shared" si="0"/>
        <v>235</v>
      </c>
      <c r="BH18">
        <v>1</v>
      </c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</row>
    <row r="19" spans="1:114" s="205" customFormat="1" x14ac:dyDescent="0.35">
      <c r="A19" s="204" t="s">
        <v>319</v>
      </c>
      <c r="B19" s="173" t="s">
        <v>216</v>
      </c>
      <c r="C19" s="201" t="s">
        <v>879</v>
      </c>
      <c r="D19" s="210" t="s">
        <v>325</v>
      </c>
      <c r="E19" s="380" t="s">
        <v>888</v>
      </c>
      <c r="F19" s="214" t="s">
        <v>299</v>
      </c>
      <c r="G19" s="375" t="s">
        <v>875</v>
      </c>
      <c r="H19" s="375" t="s">
        <v>875</v>
      </c>
      <c r="I19" s="375" t="s">
        <v>875</v>
      </c>
      <c r="J19" s="212" t="s">
        <v>875</v>
      </c>
      <c r="K19" s="315">
        <v>212</v>
      </c>
      <c r="L19" s="315">
        <v>0</v>
      </c>
      <c r="M19" s="315">
        <v>0</v>
      </c>
      <c r="N19" s="217" t="s">
        <v>875</v>
      </c>
      <c r="O19" s="324">
        <v>1</v>
      </c>
      <c r="P19" s="324">
        <v>0</v>
      </c>
      <c r="Q19" s="217" t="s">
        <v>875</v>
      </c>
      <c r="R19" s="217" t="s">
        <v>875</v>
      </c>
      <c r="S19" s="388">
        <v>0</v>
      </c>
      <c r="T19" s="388" t="s">
        <v>915</v>
      </c>
      <c r="U19" s="388">
        <v>50</v>
      </c>
      <c r="V19" s="328">
        <v>0</v>
      </c>
      <c r="W19" s="341" t="s">
        <v>875</v>
      </c>
      <c r="X19" s="341" t="s">
        <v>875</v>
      </c>
      <c r="Y19" s="341" t="s">
        <v>875</v>
      </c>
      <c r="Z19" s="341" t="s">
        <v>875</v>
      </c>
      <c r="AA19" s="341" t="s">
        <v>875</v>
      </c>
      <c r="AB19" s="341" t="s">
        <v>409</v>
      </c>
      <c r="AC19" s="234">
        <v>45603</v>
      </c>
      <c r="AD19" s="246">
        <v>45628</v>
      </c>
      <c r="AE19" s="169" t="s">
        <v>37</v>
      </c>
      <c r="AF19" s="246">
        <v>45665</v>
      </c>
      <c r="AG19" s="263" t="s">
        <v>191</v>
      </c>
      <c r="AH19" s="246">
        <v>45719</v>
      </c>
      <c r="AI19" s="242" t="s">
        <v>191</v>
      </c>
      <c r="AJ19" s="256">
        <v>45777</v>
      </c>
      <c r="AK19" s="247"/>
      <c r="AL19" s="256">
        <v>45866</v>
      </c>
      <c r="AM19" s="254"/>
      <c r="AN19" s="246">
        <v>46025</v>
      </c>
      <c r="AO19" s="254"/>
      <c r="AP19" s="246">
        <v>46062</v>
      </c>
      <c r="AQ19" s="254"/>
      <c r="AR19" s="252"/>
      <c r="AS19" s="253"/>
      <c r="AT19" s="252"/>
      <c r="AU19" s="253"/>
      <c r="AV19" s="252"/>
      <c r="AW19" s="253"/>
      <c r="AX19" s="252"/>
      <c r="AY19" s="269"/>
      <c r="AZ19" s="338">
        <v>46247</v>
      </c>
      <c r="BA19" t="s">
        <v>460</v>
      </c>
      <c r="BC19" s="338">
        <v>46136</v>
      </c>
      <c r="BD19" s="390">
        <f>DATEDIF(AC10,BC19,"d")</f>
        <v>792</v>
      </c>
      <c r="BE19">
        <v>1</v>
      </c>
      <c r="BG19" s="393">
        <f t="shared" si="0"/>
        <v>644</v>
      </c>
      <c r="BH19">
        <v>0</v>
      </c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</row>
    <row r="20" spans="1:114" s="205" customFormat="1" ht="15.75" customHeight="1" x14ac:dyDescent="0.35">
      <c r="A20" s="204" t="s">
        <v>320</v>
      </c>
      <c r="B20" s="173" t="s">
        <v>178</v>
      </c>
      <c r="C20" s="201" t="s">
        <v>894</v>
      </c>
      <c r="D20" s="210" t="s">
        <v>326</v>
      </c>
      <c r="E20" s="380" t="s">
        <v>888</v>
      </c>
      <c r="F20" s="214" t="s">
        <v>299</v>
      </c>
      <c r="G20" s="212" t="s">
        <v>883</v>
      </c>
      <c r="H20" s="212" t="s">
        <v>882</v>
      </c>
      <c r="I20" s="212" t="s">
        <v>883</v>
      </c>
      <c r="J20" s="212" t="s">
        <v>816</v>
      </c>
      <c r="K20" s="315">
        <v>1277.8</v>
      </c>
      <c r="L20" s="315">
        <v>17.5</v>
      </c>
      <c r="M20" s="315">
        <v>40.200000000000003</v>
      </c>
      <c r="N20" s="315">
        <v>100000</v>
      </c>
      <c r="O20" s="324">
        <v>0</v>
      </c>
      <c r="P20" s="324">
        <v>0</v>
      </c>
      <c r="Q20" s="324">
        <v>14</v>
      </c>
      <c r="R20" s="324">
        <v>2</v>
      </c>
      <c r="S20" s="388">
        <v>26.5</v>
      </c>
      <c r="T20" s="388" t="s">
        <v>915</v>
      </c>
      <c r="U20" s="388">
        <v>125</v>
      </c>
      <c r="V20" s="328">
        <v>0.21199999999999999</v>
      </c>
      <c r="W20" s="341">
        <v>40</v>
      </c>
      <c r="X20" s="341">
        <v>45</v>
      </c>
      <c r="Y20" s="328" t="s">
        <v>409</v>
      </c>
      <c r="Z20" s="328" t="s">
        <v>409</v>
      </c>
      <c r="AA20" s="328" t="s">
        <v>409</v>
      </c>
      <c r="AB20" s="328" t="s">
        <v>409</v>
      </c>
      <c r="AC20" s="234">
        <v>45609</v>
      </c>
      <c r="AD20" s="246">
        <v>45635</v>
      </c>
      <c r="AE20" s="170" t="s">
        <v>37</v>
      </c>
      <c r="AF20" s="246">
        <v>45667</v>
      </c>
      <c r="AG20" s="266" t="s">
        <v>316</v>
      </c>
      <c r="AH20" s="195">
        <v>45722</v>
      </c>
      <c r="AI20" s="245" t="s">
        <v>289</v>
      </c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  <c r="AW20" s="454"/>
      <c r="AX20" s="454"/>
      <c r="AY20" s="454"/>
      <c r="AZ20" s="338">
        <v>45730</v>
      </c>
      <c r="BA20" t="s">
        <v>461</v>
      </c>
      <c r="BC20"/>
      <c r="BD20" s="390">
        <f>DATEDIF(AC20,AH20,"d")</f>
        <v>113</v>
      </c>
      <c r="BE20">
        <v>1</v>
      </c>
      <c r="BG20" s="390">
        <f t="shared" si="0"/>
        <v>121</v>
      </c>
      <c r="BH20">
        <v>1</v>
      </c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</row>
    <row r="21" spans="1:114" x14ac:dyDescent="0.35">
      <c r="A21" s="204" t="s">
        <v>329</v>
      </c>
      <c r="B21" s="173" t="s">
        <v>330</v>
      </c>
      <c r="C21" s="201" t="s">
        <v>895</v>
      </c>
      <c r="D21" s="210" t="s">
        <v>339</v>
      </c>
      <c r="E21" s="380" t="s">
        <v>888</v>
      </c>
      <c r="F21" s="214" t="s">
        <v>299</v>
      </c>
      <c r="G21" s="212" t="s">
        <v>875</v>
      </c>
      <c r="H21" s="375" t="s">
        <v>875</v>
      </c>
      <c r="I21" s="375" t="s">
        <v>875</v>
      </c>
      <c r="J21" s="212" t="s">
        <v>875</v>
      </c>
      <c r="K21" s="315">
        <v>21.2</v>
      </c>
      <c r="L21" s="315">
        <v>0</v>
      </c>
      <c r="M21" s="315">
        <v>0</v>
      </c>
      <c r="N21" s="217" t="s">
        <v>875</v>
      </c>
      <c r="O21" s="324">
        <v>0</v>
      </c>
      <c r="P21" s="324">
        <v>0</v>
      </c>
      <c r="Q21" s="217" t="s">
        <v>875</v>
      </c>
      <c r="R21" s="217" t="s">
        <v>875</v>
      </c>
      <c r="S21" s="388">
        <v>252.5</v>
      </c>
      <c r="T21" s="388" t="s">
        <v>914</v>
      </c>
      <c r="U21" s="388">
        <v>185</v>
      </c>
      <c r="V21" s="328">
        <v>1.3648648648648649</v>
      </c>
      <c r="W21" s="328" t="s">
        <v>875</v>
      </c>
      <c r="X21" s="328" t="s">
        <v>875</v>
      </c>
      <c r="Y21" s="328" t="s">
        <v>875</v>
      </c>
      <c r="Z21" s="328" t="s">
        <v>875</v>
      </c>
      <c r="AA21" s="328" t="s">
        <v>875</v>
      </c>
      <c r="AB21" s="328" t="s">
        <v>409</v>
      </c>
      <c r="AC21" s="234">
        <v>45665</v>
      </c>
      <c r="AD21" s="246">
        <v>45749</v>
      </c>
      <c r="AE21" s="170" t="s">
        <v>37</v>
      </c>
      <c r="AF21" s="246">
        <v>45776</v>
      </c>
      <c r="AG21" s="266" t="s">
        <v>316</v>
      </c>
      <c r="AH21" s="246">
        <v>45847</v>
      </c>
      <c r="AI21" s="169" t="s">
        <v>316</v>
      </c>
      <c r="AJ21" s="256">
        <v>45904</v>
      </c>
      <c r="AK21" s="247"/>
      <c r="AL21" s="256">
        <v>45974</v>
      </c>
      <c r="AM21" s="254"/>
      <c r="AN21" s="287"/>
      <c r="AO21" s="25"/>
      <c r="AP21" s="287">
        <v>46078</v>
      </c>
      <c r="AQ21" s="25"/>
      <c r="AR21" s="287"/>
      <c r="AS21" s="25"/>
      <c r="AT21" s="287"/>
      <c r="AU21" s="25"/>
      <c r="AV21" s="287"/>
      <c r="AW21" s="25"/>
      <c r="AX21" s="287"/>
      <c r="AY21" s="288"/>
      <c r="AZ21" s="338">
        <v>46232</v>
      </c>
      <c r="BA21" t="s">
        <v>460</v>
      </c>
      <c r="BC21" s="338">
        <v>46232</v>
      </c>
      <c r="BD21" s="393">
        <f>DATEDIF(AC21,BC21,"d")</f>
        <v>567</v>
      </c>
      <c r="BE21">
        <v>0</v>
      </c>
      <c r="BG21" s="393">
        <f t="shared" si="0"/>
        <v>567</v>
      </c>
      <c r="BH21">
        <v>0</v>
      </c>
    </row>
    <row r="22" spans="1:114" ht="15.75" customHeight="1" x14ac:dyDescent="0.35">
      <c r="A22" s="204" t="s">
        <v>333</v>
      </c>
      <c r="B22" s="173" t="s">
        <v>334</v>
      </c>
      <c r="C22" s="201" t="s">
        <v>896</v>
      </c>
      <c r="D22" s="210" t="s">
        <v>341</v>
      </c>
      <c r="E22" s="380" t="s">
        <v>888</v>
      </c>
      <c r="F22" s="214" t="s">
        <v>299</v>
      </c>
      <c r="G22" s="212" t="s">
        <v>875</v>
      </c>
      <c r="H22" s="375" t="s">
        <v>875</v>
      </c>
      <c r="I22" s="375" t="s">
        <v>875</v>
      </c>
      <c r="J22" s="212" t="s">
        <v>875</v>
      </c>
      <c r="K22" s="315">
        <v>30.9</v>
      </c>
      <c r="L22" s="315">
        <v>0</v>
      </c>
      <c r="M22" s="315">
        <v>0</v>
      </c>
      <c r="N22" s="217" t="s">
        <v>875</v>
      </c>
      <c r="O22" s="324">
        <v>0</v>
      </c>
      <c r="P22" s="324">
        <v>0</v>
      </c>
      <c r="Q22" s="217" t="s">
        <v>875</v>
      </c>
      <c r="R22" s="217" t="s">
        <v>875</v>
      </c>
      <c r="S22" s="388">
        <v>293</v>
      </c>
      <c r="T22" s="388" t="s">
        <v>914</v>
      </c>
      <c r="U22" s="388">
        <v>202.5</v>
      </c>
      <c r="V22" s="328">
        <v>1.4469135802469135</v>
      </c>
      <c r="W22" s="328" t="s">
        <v>875</v>
      </c>
      <c r="X22" s="328" t="s">
        <v>875</v>
      </c>
      <c r="Y22" s="328" t="s">
        <v>875</v>
      </c>
      <c r="Z22" s="328" t="s">
        <v>875</v>
      </c>
      <c r="AA22" s="328" t="s">
        <v>875</v>
      </c>
      <c r="AB22" s="328" t="s">
        <v>409</v>
      </c>
      <c r="AC22" s="234">
        <v>45673</v>
      </c>
      <c r="AD22" s="246">
        <v>45722</v>
      </c>
      <c r="AE22" s="170" t="s">
        <v>37</v>
      </c>
      <c r="AF22" s="246">
        <v>45757</v>
      </c>
      <c r="AG22" s="263" t="s">
        <v>191</v>
      </c>
      <c r="AH22" s="246">
        <v>45819</v>
      </c>
      <c r="AI22" s="242" t="s">
        <v>191</v>
      </c>
      <c r="AJ22" s="256">
        <v>45925</v>
      </c>
      <c r="AK22" s="247"/>
      <c r="AL22" s="292">
        <v>45987</v>
      </c>
      <c r="AM22" s="270"/>
      <c r="AN22" s="281">
        <v>46079</v>
      </c>
      <c r="AO22" s="270"/>
      <c r="AP22" s="261"/>
      <c r="AQ22" s="23"/>
      <c r="AR22" s="261"/>
      <c r="AS22" s="23"/>
      <c r="AT22" s="261"/>
      <c r="AU22" s="23"/>
      <c r="AV22" s="261"/>
      <c r="AW22" s="23"/>
      <c r="AX22" s="261"/>
      <c r="AY22" s="262"/>
      <c r="AZ22" s="338">
        <v>46176</v>
      </c>
      <c r="BA22" t="s">
        <v>460</v>
      </c>
      <c r="BC22" s="338">
        <v>46176</v>
      </c>
      <c r="BD22" s="393">
        <f>DATEDIF(AC22,BC22,"d")</f>
        <v>503</v>
      </c>
      <c r="BE22">
        <v>0</v>
      </c>
      <c r="BG22" s="393">
        <f t="shared" si="0"/>
        <v>503</v>
      </c>
      <c r="BH22">
        <v>0</v>
      </c>
    </row>
    <row r="23" spans="1:114" x14ac:dyDescent="0.35">
      <c r="A23" s="204" t="s">
        <v>335</v>
      </c>
      <c r="B23" s="173" t="s">
        <v>336</v>
      </c>
      <c r="C23" s="201" t="s">
        <v>897</v>
      </c>
      <c r="D23" s="210" t="s">
        <v>342</v>
      </c>
      <c r="E23" s="380" t="s">
        <v>888</v>
      </c>
      <c r="F23" s="214" t="s">
        <v>299</v>
      </c>
      <c r="G23" s="212" t="s">
        <v>882</v>
      </c>
      <c r="H23" s="212" t="s">
        <v>883</v>
      </c>
      <c r="I23" s="212" t="s">
        <v>883</v>
      </c>
      <c r="J23" s="212" t="s">
        <v>878</v>
      </c>
      <c r="K23" s="315">
        <v>6205</v>
      </c>
      <c r="L23" s="315">
        <v>3.5</v>
      </c>
      <c r="M23" s="315">
        <v>21.1</v>
      </c>
      <c r="N23" s="217" t="s">
        <v>37</v>
      </c>
      <c r="O23" s="324">
        <v>33</v>
      </c>
      <c r="P23" s="324">
        <v>0</v>
      </c>
      <c r="Q23" s="217" t="s">
        <v>37</v>
      </c>
      <c r="R23" s="217" t="s">
        <v>37</v>
      </c>
      <c r="S23" s="388">
        <v>270</v>
      </c>
      <c r="T23" s="388" t="s">
        <v>914</v>
      </c>
      <c r="U23" s="388">
        <v>0</v>
      </c>
      <c r="V23" s="328">
        <v>270</v>
      </c>
      <c r="W23" s="328" t="s">
        <v>37</v>
      </c>
      <c r="X23" s="328" t="s">
        <v>37</v>
      </c>
      <c r="Y23" s="328" t="s">
        <v>409</v>
      </c>
      <c r="Z23" s="328" t="s">
        <v>409</v>
      </c>
      <c r="AA23" s="328" t="s">
        <v>409</v>
      </c>
      <c r="AB23" s="328" t="s">
        <v>409</v>
      </c>
      <c r="AC23" s="234">
        <v>45691</v>
      </c>
      <c r="AD23" s="246">
        <v>45737</v>
      </c>
      <c r="AE23" s="169" t="s">
        <v>37</v>
      </c>
      <c r="AF23" s="246">
        <v>45763</v>
      </c>
      <c r="AG23" s="263" t="s">
        <v>191</v>
      </c>
      <c r="AH23" s="246">
        <v>45828</v>
      </c>
      <c r="AI23" s="242" t="s">
        <v>191</v>
      </c>
      <c r="AJ23" s="308">
        <v>45889</v>
      </c>
      <c r="AK23" s="245" t="s">
        <v>375</v>
      </c>
      <c r="AL23" s="454"/>
      <c r="AM23" s="454"/>
      <c r="AN23" s="454"/>
      <c r="AO23" s="454"/>
      <c r="AP23" s="454"/>
      <c r="AQ23" s="454"/>
      <c r="AR23" s="454"/>
      <c r="AS23" s="454"/>
      <c r="AT23" s="454"/>
      <c r="AU23" s="454"/>
      <c r="AV23" s="454"/>
      <c r="AW23" s="454"/>
      <c r="AX23" s="454"/>
      <c r="AY23" s="454"/>
      <c r="AZ23" s="338">
        <v>45889</v>
      </c>
      <c r="BA23" t="s">
        <v>461</v>
      </c>
      <c r="BD23" s="390">
        <f>DATEDIF(AC23,AJ23,"d")</f>
        <v>198</v>
      </c>
      <c r="BE23">
        <v>1</v>
      </c>
      <c r="BG23" s="390">
        <f t="shared" si="0"/>
        <v>198</v>
      </c>
      <c r="BH23">
        <v>1</v>
      </c>
    </row>
    <row r="24" spans="1:114" ht="15.75" customHeight="1" x14ac:dyDescent="0.35">
      <c r="A24" s="204" t="s">
        <v>337</v>
      </c>
      <c r="B24" s="173" t="s">
        <v>338</v>
      </c>
      <c r="C24" s="201" t="s">
        <v>898</v>
      </c>
      <c r="D24" s="210" t="s">
        <v>343</v>
      </c>
      <c r="E24" s="380" t="s">
        <v>888</v>
      </c>
      <c r="F24" s="214" t="s">
        <v>299</v>
      </c>
      <c r="G24" s="212" t="s">
        <v>883</v>
      </c>
      <c r="H24" s="212" t="s">
        <v>882</v>
      </c>
      <c r="I24" s="212" t="s">
        <v>883</v>
      </c>
      <c r="J24" s="212" t="s">
        <v>37</v>
      </c>
      <c r="K24" s="315">
        <v>234.9</v>
      </c>
      <c r="L24" s="315">
        <v>0</v>
      </c>
      <c r="M24" s="315">
        <v>0</v>
      </c>
      <c r="N24" s="217" t="s">
        <v>409</v>
      </c>
      <c r="O24" s="324">
        <v>0</v>
      </c>
      <c r="P24" s="324">
        <v>0</v>
      </c>
      <c r="Q24" s="217" t="s">
        <v>409</v>
      </c>
      <c r="R24" s="217" t="s">
        <v>409</v>
      </c>
      <c r="S24" s="388">
        <v>237.5</v>
      </c>
      <c r="T24" s="388" t="s">
        <v>914</v>
      </c>
      <c r="U24" s="388">
        <v>150</v>
      </c>
      <c r="V24" s="328">
        <v>1.5833333333333333</v>
      </c>
      <c r="W24" s="328" t="s">
        <v>37</v>
      </c>
      <c r="X24" s="328" t="s">
        <v>37</v>
      </c>
      <c r="Y24" s="328" t="s">
        <v>505</v>
      </c>
      <c r="Z24" s="328" t="s">
        <v>467</v>
      </c>
      <c r="AA24" s="328"/>
      <c r="AB24" s="328" t="s">
        <v>911</v>
      </c>
      <c r="AC24" s="234">
        <v>45701</v>
      </c>
      <c r="AD24" s="246">
        <v>45735</v>
      </c>
      <c r="AE24" s="170" t="s">
        <v>37</v>
      </c>
      <c r="AF24" s="246">
        <v>45763</v>
      </c>
      <c r="AG24" s="266" t="s">
        <v>316</v>
      </c>
      <c r="AH24" s="246">
        <v>45847</v>
      </c>
      <c r="AI24" s="169" t="s">
        <v>316</v>
      </c>
      <c r="AJ24" s="278">
        <v>46091</v>
      </c>
      <c r="AK24" s="196" t="s">
        <v>289</v>
      </c>
      <c r="AL24" s="454"/>
      <c r="AM24" s="454"/>
      <c r="AN24" s="454"/>
      <c r="AO24" s="454"/>
      <c r="AP24" s="454"/>
      <c r="AQ24" s="454"/>
      <c r="AR24" s="454"/>
      <c r="AS24" s="454"/>
      <c r="AT24" s="454"/>
      <c r="AU24" s="454"/>
      <c r="AV24" s="454"/>
      <c r="AW24" s="454"/>
      <c r="AX24" s="454"/>
      <c r="AY24" s="454"/>
      <c r="AZ24" s="338">
        <v>46175</v>
      </c>
      <c r="BA24" t="s">
        <v>460</v>
      </c>
      <c r="BD24" s="390">
        <f>DATEDIF(AC24,AJ24,"d")</f>
        <v>390</v>
      </c>
      <c r="BE24">
        <v>1</v>
      </c>
      <c r="BG24" s="393">
        <f t="shared" si="0"/>
        <v>474</v>
      </c>
      <c r="BH24">
        <v>0</v>
      </c>
    </row>
    <row r="25" spans="1:114" x14ac:dyDescent="0.35">
      <c r="A25" s="204" t="s">
        <v>345</v>
      </c>
      <c r="B25" s="173" t="s">
        <v>346</v>
      </c>
      <c r="C25" s="201" t="s">
        <v>901</v>
      </c>
      <c r="D25" s="210" t="s">
        <v>349</v>
      </c>
      <c r="E25" s="380" t="s">
        <v>888</v>
      </c>
      <c r="F25" s="214" t="s">
        <v>299</v>
      </c>
      <c r="G25" s="212" t="s">
        <v>875</v>
      </c>
      <c r="H25" s="375" t="s">
        <v>875</v>
      </c>
      <c r="I25" s="375" t="s">
        <v>875</v>
      </c>
      <c r="J25" s="212" t="s">
        <v>875</v>
      </c>
      <c r="K25" s="315">
        <v>0</v>
      </c>
      <c r="L25" s="217" t="s">
        <v>37</v>
      </c>
      <c r="M25" s="315">
        <v>0</v>
      </c>
      <c r="N25" s="217" t="s">
        <v>875</v>
      </c>
      <c r="O25" s="324">
        <v>0</v>
      </c>
      <c r="P25" s="324">
        <v>0</v>
      </c>
      <c r="Q25" s="217" t="s">
        <v>875</v>
      </c>
      <c r="R25" s="217" t="s">
        <v>875</v>
      </c>
      <c r="S25" s="388" t="s">
        <v>37</v>
      </c>
      <c r="T25" s="388"/>
      <c r="U25" s="388" t="s">
        <v>37</v>
      </c>
      <c r="V25" s="328" t="s">
        <v>37</v>
      </c>
      <c r="W25" s="328" t="s">
        <v>875</v>
      </c>
      <c r="X25" s="328" t="s">
        <v>875</v>
      </c>
      <c r="Y25" s="328" t="s">
        <v>875</v>
      </c>
      <c r="Z25" s="328" t="s">
        <v>875</v>
      </c>
      <c r="AA25" s="328" t="s">
        <v>875</v>
      </c>
      <c r="AB25" s="328" t="s">
        <v>409</v>
      </c>
      <c r="AC25" s="234">
        <v>45722</v>
      </c>
      <c r="AD25" s="246">
        <v>45764</v>
      </c>
      <c r="AE25" s="241" t="s">
        <v>37</v>
      </c>
      <c r="AF25" s="246">
        <v>45800</v>
      </c>
      <c r="AG25" s="263" t="s">
        <v>191</v>
      </c>
      <c r="AH25" s="246">
        <v>45869</v>
      </c>
      <c r="AI25" s="242" t="s">
        <v>191</v>
      </c>
      <c r="AJ25" s="256">
        <v>45932</v>
      </c>
      <c r="AK25" s="247"/>
      <c r="AL25" s="256">
        <v>46001</v>
      </c>
      <c r="AM25" s="254"/>
      <c r="AN25" s="246">
        <v>46092</v>
      </c>
      <c r="AO25" s="254"/>
      <c r="AP25" s="261"/>
      <c r="AQ25" s="23"/>
      <c r="AR25" s="261"/>
      <c r="AS25" s="23"/>
      <c r="AT25" s="261"/>
      <c r="AU25" s="23"/>
      <c r="AV25" s="261"/>
      <c r="AW25" s="23"/>
      <c r="AX25" s="261"/>
      <c r="AY25" s="262"/>
      <c r="AZ25" s="338">
        <v>46204</v>
      </c>
      <c r="BA25" t="s">
        <v>460</v>
      </c>
      <c r="BC25" s="338">
        <v>46204</v>
      </c>
      <c r="BD25" s="393">
        <f>DATEDIF(AC25,BC25,"d")</f>
        <v>482</v>
      </c>
      <c r="BE25">
        <v>0</v>
      </c>
      <c r="BG25" s="393">
        <f t="shared" si="0"/>
        <v>482</v>
      </c>
      <c r="BH25">
        <v>0</v>
      </c>
    </row>
    <row r="26" spans="1:114" x14ac:dyDescent="0.35">
      <c r="A26" s="204" t="s">
        <v>347</v>
      </c>
      <c r="B26" s="173" t="s">
        <v>348</v>
      </c>
      <c r="C26" s="382" t="s">
        <v>899</v>
      </c>
      <c r="D26" s="210" t="s">
        <v>350</v>
      </c>
      <c r="E26" s="380" t="s">
        <v>888</v>
      </c>
      <c r="F26" s="214" t="s">
        <v>299</v>
      </c>
      <c r="G26" s="212" t="s">
        <v>875</v>
      </c>
      <c r="H26" s="375" t="s">
        <v>875</v>
      </c>
      <c r="I26" s="375" t="s">
        <v>875</v>
      </c>
      <c r="J26" s="212" t="s">
        <v>875</v>
      </c>
      <c r="K26" s="315">
        <v>46.5</v>
      </c>
      <c r="L26" s="315">
        <v>0</v>
      </c>
      <c r="M26" s="315">
        <v>0</v>
      </c>
      <c r="N26" s="217" t="s">
        <v>875</v>
      </c>
      <c r="O26" s="324">
        <v>1</v>
      </c>
      <c r="P26" s="324">
        <v>0</v>
      </c>
      <c r="Q26" s="217" t="s">
        <v>875</v>
      </c>
      <c r="R26" s="217" t="s">
        <v>875</v>
      </c>
      <c r="S26" s="388" t="s">
        <v>37</v>
      </c>
      <c r="T26" s="388"/>
      <c r="U26" s="388" t="s">
        <v>37</v>
      </c>
      <c r="V26" s="328" t="s">
        <v>37</v>
      </c>
      <c r="W26" s="328" t="s">
        <v>875</v>
      </c>
      <c r="X26" s="328" t="s">
        <v>875</v>
      </c>
      <c r="Y26" s="328" t="s">
        <v>875</v>
      </c>
      <c r="Z26" s="328" t="s">
        <v>875</v>
      </c>
      <c r="AA26" s="328" t="s">
        <v>875</v>
      </c>
      <c r="AB26" s="328" t="s">
        <v>409</v>
      </c>
      <c r="AC26" s="234">
        <v>45736</v>
      </c>
      <c r="AD26" s="246">
        <v>45777</v>
      </c>
      <c r="AE26" s="241" t="s">
        <v>37</v>
      </c>
      <c r="AF26" s="246">
        <v>45819</v>
      </c>
      <c r="AG26" s="266" t="s">
        <v>316</v>
      </c>
      <c r="AH26" s="246">
        <v>45924</v>
      </c>
      <c r="AI26" s="169" t="s">
        <v>316</v>
      </c>
      <c r="AJ26" s="256">
        <v>46015</v>
      </c>
      <c r="AK26" s="247"/>
      <c r="AL26" s="25">
        <v>46106</v>
      </c>
      <c r="AM26" s="23"/>
      <c r="AN26" s="261"/>
      <c r="AO26" s="23"/>
      <c r="AP26" s="261"/>
      <c r="AQ26" s="23"/>
      <c r="AR26" s="261"/>
      <c r="AS26" s="23"/>
      <c r="AT26" s="261"/>
      <c r="AU26" s="23"/>
      <c r="AV26" s="261"/>
      <c r="AW26" s="23"/>
      <c r="AX26" s="261"/>
      <c r="AY26" s="262"/>
      <c r="AZ26" s="338">
        <v>46197</v>
      </c>
      <c r="BA26" t="s">
        <v>460</v>
      </c>
      <c r="BC26" s="338">
        <v>46197</v>
      </c>
      <c r="BD26" s="393">
        <f>DATEDIF(AC26,BC26,"d")</f>
        <v>461</v>
      </c>
      <c r="BE26">
        <v>0</v>
      </c>
      <c r="BG26" s="393">
        <f t="shared" si="0"/>
        <v>461</v>
      </c>
      <c r="BH26">
        <v>0</v>
      </c>
    </row>
  </sheetData>
  <mergeCells count="31">
    <mergeCell ref="AL24:AY24"/>
    <mergeCell ref="AL15:AY15"/>
    <mergeCell ref="AJ16:AY16"/>
    <mergeCell ref="AL17:AY17"/>
    <mergeCell ref="AH18:AY18"/>
    <mergeCell ref="AJ20:AY20"/>
    <mergeCell ref="AL23:AY23"/>
    <mergeCell ref="AJ14:AY14"/>
    <mergeCell ref="AR1:AS1"/>
    <mergeCell ref="AT1:AU1"/>
    <mergeCell ref="AV1:AW1"/>
    <mergeCell ref="AX1:AY1"/>
    <mergeCell ref="AL3:AY3"/>
    <mergeCell ref="AJ4:AY4"/>
    <mergeCell ref="AP1:AQ1"/>
    <mergeCell ref="AV5:AY5"/>
    <mergeCell ref="AT6:AY6"/>
    <mergeCell ref="AJ8:AY8"/>
    <mergeCell ref="AL12:AY12"/>
    <mergeCell ref="AH13:AY13"/>
    <mergeCell ref="AF1:AG1"/>
    <mergeCell ref="AH1:AI1"/>
    <mergeCell ref="AJ1:AK1"/>
    <mergeCell ref="AL1:AM1"/>
    <mergeCell ref="AN1:AO1"/>
    <mergeCell ref="AD1:AE1"/>
    <mergeCell ref="A1:A2"/>
    <mergeCell ref="B1:B2"/>
    <mergeCell ref="C1:C2"/>
    <mergeCell ref="D1:D2"/>
    <mergeCell ref="AC1:AC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F78"/>
  <sheetViews>
    <sheetView zoomScale="85" zoomScaleNormal="85" workbookViewId="0">
      <pane xSplit="6" ySplit="2" topLeftCell="AQ3" activePane="bottomRight" state="frozen"/>
      <selection pane="topRight" activeCell="F1" sqref="F1"/>
      <selection pane="bottomLeft" activeCell="A3" sqref="A3"/>
      <selection pane="bottomRight" activeCell="J9" sqref="J9"/>
    </sheetView>
  </sheetViews>
  <sheetFormatPr baseColWidth="10" defaultRowHeight="14.5" x14ac:dyDescent="0.35"/>
  <cols>
    <col min="1" max="1" width="18.1796875" style="166" bestFit="1" customWidth="1"/>
    <col min="2" max="2" width="15.453125" bestFit="1" customWidth="1"/>
    <col min="3" max="3" width="10.36328125" bestFit="1" customWidth="1"/>
    <col min="4" max="5" width="13.453125" customWidth="1"/>
    <col min="6" max="24" width="11.81640625" style="178" customWidth="1"/>
    <col min="25" max="25" width="14.6328125" style="178" customWidth="1"/>
    <col min="26" max="26" width="12.1796875" style="166" bestFit="1" customWidth="1"/>
    <col min="27" max="27" width="17.36328125" style="167" bestFit="1" customWidth="1"/>
    <col min="28" max="28" width="12.1796875" style="166" bestFit="1" customWidth="1"/>
    <col min="29" max="29" width="17.36328125" bestFit="1" customWidth="1"/>
    <col min="30" max="30" width="12.1796875" style="166" bestFit="1" customWidth="1"/>
    <col min="31" max="31" width="17.36328125" style="167" bestFit="1" customWidth="1"/>
    <col min="32" max="32" width="12.1796875" bestFit="1" customWidth="1"/>
    <col min="33" max="33" width="17.36328125" style="167" bestFit="1" customWidth="1"/>
    <col min="34" max="34" width="12.1796875" bestFit="1" customWidth="1"/>
    <col min="35" max="35" width="17.36328125" bestFit="1" customWidth="1"/>
    <col min="36" max="36" width="12.1796875" style="166" bestFit="1" customWidth="1"/>
    <col min="37" max="37" width="22" customWidth="1"/>
    <col min="38" max="38" width="22" style="166" customWidth="1"/>
    <col min="39" max="39" width="18.81640625" customWidth="1"/>
    <col min="40" max="40" width="18.81640625" style="166" customWidth="1"/>
    <col min="41" max="41" width="18.81640625" customWidth="1"/>
    <col min="42" max="42" width="18.453125" style="166" customWidth="1"/>
    <col min="43" max="43" width="14.81640625" customWidth="1"/>
    <col min="44" max="44" width="18.81640625" style="166" customWidth="1"/>
    <col min="45" max="45" width="14.81640625" customWidth="1"/>
    <col min="46" max="46" width="18.81640625" style="166" customWidth="1"/>
    <col min="47" max="47" width="14.81640625" style="167" customWidth="1"/>
  </cols>
  <sheetData>
    <row r="1" spans="1:49" s="193" customFormat="1" ht="18" customHeight="1" thickBot="1" x14ac:dyDescent="0.4">
      <c r="A1" s="434" t="s">
        <v>0</v>
      </c>
      <c r="B1" s="436" t="s">
        <v>1</v>
      </c>
      <c r="C1" s="436" t="s">
        <v>38</v>
      </c>
      <c r="D1" s="438" t="s">
        <v>40</v>
      </c>
      <c r="E1" s="377"/>
      <c r="G1" s="250"/>
      <c r="H1" s="250"/>
      <c r="M1" s="323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440" t="s">
        <v>285</v>
      </c>
      <c r="Z1" s="432" t="s">
        <v>295</v>
      </c>
      <c r="AA1" s="433"/>
      <c r="AB1" s="432" t="s">
        <v>284</v>
      </c>
      <c r="AC1" s="433"/>
      <c r="AD1" s="432" t="s">
        <v>147</v>
      </c>
      <c r="AE1" s="433"/>
      <c r="AF1" s="432" t="s">
        <v>154</v>
      </c>
      <c r="AG1" s="433"/>
      <c r="AH1" s="432" t="s">
        <v>290</v>
      </c>
      <c r="AI1" s="433"/>
      <c r="AJ1" s="432" t="s">
        <v>296</v>
      </c>
      <c r="AK1" s="433"/>
      <c r="AL1" s="432" t="s">
        <v>190</v>
      </c>
      <c r="AM1" s="433"/>
      <c r="AN1" s="432" t="s">
        <v>94</v>
      </c>
      <c r="AO1" s="433"/>
      <c r="AP1" s="432" t="s">
        <v>95</v>
      </c>
      <c r="AQ1" s="433"/>
      <c r="AR1" s="432" t="s">
        <v>355</v>
      </c>
      <c r="AS1" s="433"/>
      <c r="AT1" s="432" t="s">
        <v>356</v>
      </c>
      <c r="AU1" s="433"/>
      <c r="AV1" s="337" t="s">
        <v>459</v>
      </c>
      <c r="AW1" s="337" t="s">
        <v>458</v>
      </c>
    </row>
    <row r="2" spans="1:49" s="184" customFormat="1" ht="62.5" thickBot="1" x14ac:dyDescent="0.4">
      <c r="A2" s="435"/>
      <c r="B2" s="437"/>
      <c r="C2" s="437"/>
      <c r="D2" s="439"/>
      <c r="E2" s="378" t="s">
        <v>886</v>
      </c>
      <c r="F2" s="250" t="s">
        <v>145</v>
      </c>
      <c r="G2" s="251" t="s">
        <v>881</v>
      </c>
      <c r="H2" s="251" t="s">
        <v>507</v>
      </c>
      <c r="I2" s="314" t="s">
        <v>391</v>
      </c>
      <c r="J2" s="314" t="s">
        <v>408</v>
      </c>
      <c r="K2" s="314" t="s">
        <v>417</v>
      </c>
      <c r="L2" s="314" t="s">
        <v>418</v>
      </c>
      <c r="M2" s="323" t="s">
        <v>426</v>
      </c>
      <c r="N2" s="323" t="s">
        <v>427</v>
      </c>
      <c r="O2" s="323" t="s">
        <v>428</v>
      </c>
      <c r="P2" s="323" t="s">
        <v>429</v>
      </c>
      <c r="Q2" s="326" t="s">
        <v>430</v>
      </c>
      <c r="R2" s="326" t="s">
        <v>431</v>
      </c>
      <c r="S2" s="326" t="s">
        <v>432</v>
      </c>
      <c r="T2" s="326" t="s">
        <v>433</v>
      </c>
      <c r="U2" s="326" t="s">
        <v>434</v>
      </c>
      <c r="V2" s="333" t="s">
        <v>435</v>
      </c>
      <c r="W2" s="333" t="s">
        <v>452</v>
      </c>
      <c r="X2" s="333" t="s">
        <v>436</v>
      </c>
      <c r="Y2" s="441"/>
      <c r="Z2" s="189" t="s">
        <v>287</v>
      </c>
      <c r="AA2" s="188" t="s">
        <v>288</v>
      </c>
      <c r="AB2" s="189" t="s">
        <v>287</v>
      </c>
      <c r="AC2" s="244" t="s">
        <v>288</v>
      </c>
      <c r="AD2" s="187" t="s">
        <v>287</v>
      </c>
      <c r="AE2" s="188" t="s">
        <v>288</v>
      </c>
      <c r="AF2" s="194" t="s">
        <v>287</v>
      </c>
      <c r="AG2" s="188" t="s">
        <v>288</v>
      </c>
      <c r="AH2" s="194" t="s">
        <v>287</v>
      </c>
      <c r="AI2" s="244" t="s">
        <v>288</v>
      </c>
      <c r="AJ2" s="187" t="s">
        <v>287</v>
      </c>
      <c r="AK2" s="244" t="s">
        <v>288</v>
      </c>
      <c r="AL2" s="187" t="s">
        <v>287</v>
      </c>
      <c r="AM2" s="244" t="s">
        <v>288</v>
      </c>
      <c r="AN2" s="187" t="s">
        <v>287</v>
      </c>
      <c r="AO2" s="244" t="s">
        <v>288</v>
      </c>
      <c r="AP2" s="185"/>
      <c r="AQ2" s="274"/>
      <c r="AR2" s="185"/>
      <c r="AS2" s="274"/>
      <c r="AT2" s="185"/>
      <c r="AU2" s="186"/>
    </row>
    <row r="3" spans="1:49" x14ac:dyDescent="0.35">
      <c r="A3" s="179" t="s">
        <v>96</v>
      </c>
      <c r="B3" s="180" t="s">
        <v>97</v>
      </c>
      <c r="C3" s="376" t="s">
        <v>125</v>
      </c>
      <c r="D3" s="209" t="s">
        <v>98</v>
      </c>
      <c r="E3" s="379"/>
      <c r="F3" s="212" t="s">
        <v>297</v>
      </c>
      <c r="G3" s="212" t="s">
        <v>875</v>
      </c>
      <c r="H3" s="212" t="s">
        <v>37</v>
      </c>
      <c r="I3" s="216" t="s">
        <v>392</v>
      </c>
      <c r="J3" s="216" t="s">
        <v>409</v>
      </c>
      <c r="K3" s="216" t="s">
        <v>409</v>
      </c>
      <c r="L3" s="216" t="s">
        <v>875</v>
      </c>
      <c r="M3" s="324">
        <v>0</v>
      </c>
      <c r="N3" s="324">
        <v>0</v>
      </c>
      <c r="O3" s="216" t="s">
        <v>875</v>
      </c>
      <c r="P3" s="216" t="s">
        <v>875</v>
      </c>
      <c r="Q3" s="327">
        <v>255</v>
      </c>
      <c r="R3" s="332">
        <v>132.5</v>
      </c>
      <c r="S3" s="332">
        <v>1.9245283018867925</v>
      </c>
      <c r="T3" s="332" t="s">
        <v>875</v>
      </c>
      <c r="U3" s="332" t="s">
        <v>875</v>
      </c>
      <c r="V3" s="178" t="s">
        <v>875</v>
      </c>
      <c r="W3" s="178" t="s">
        <v>875</v>
      </c>
      <c r="X3" s="178" t="s">
        <v>875</v>
      </c>
      <c r="Y3" s="216" t="s">
        <v>108</v>
      </c>
      <c r="Z3" s="181" t="s">
        <v>110</v>
      </c>
      <c r="AA3" s="182" t="s">
        <v>111</v>
      </c>
      <c r="AB3" s="181" t="s">
        <v>114</v>
      </c>
      <c r="AC3" s="296" t="s">
        <v>111</v>
      </c>
      <c r="AD3" s="181" t="s">
        <v>148</v>
      </c>
      <c r="AE3" s="191" t="s">
        <v>111</v>
      </c>
      <c r="AF3" s="295" t="s">
        <v>192</v>
      </c>
      <c r="AG3" s="191" t="s">
        <v>111</v>
      </c>
      <c r="AH3" s="295" t="s">
        <v>235</v>
      </c>
      <c r="AI3" s="264" t="s">
        <v>111</v>
      </c>
      <c r="AJ3" s="227" t="s">
        <v>270</v>
      </c>
      <c r="AK3" s="264" t="s">
        <v>111</v>
      </c>
      <c r="AL3" s="227" t="s">
        <v>317</v>
      </c>
      <c r="AM3" s="254"/>
      <c r="AN3" s="227" t="s">
        <v>351</v>
      </c>
      <c r="AO3" s="254"/>
      <c r="AP3" s="183">
        <v>45882</v>
      </c>
      <c r="AQ3" s="254"/>
      <c r="AR3" s="183">
        <v>45974</v>
      </c>
      <c r="AS3" s="254"/>
      <c r="AT3" s="183">
        <v>46064</v>
      </c>
      <c r="AU3" s="247"/>
      <c r="AV3" s="183">
        <v>46064</v>
      </c>
      <c r="AW3" t="s">
        <v>460</v>
      </c>
    </row>
    <row r="4" spans="1:49" ht="16.5" customHeight="1" x14ac:dyDescent="0.35">
      <c r="A4" s="172" t="s">
        <v>105</v>
      </c>
      <c r="B4" s="173" t="s">
        <v>106</v>
      </c>
      <c r="C4" s="174" t="s">
        <v>107</v>
      </c>
      <c r="D4" s="210" t="s">
        <v>99</v>
      </c>
      <c r="E4" s="380"/>
      <c r="F4" s="213" t="s">
        <v>297</v>
      </c>
      <c r="G4" s="212" t="s">
        <v>882</v>
      </c>
      <c r="H4" s="212" t="s">
        <v>873</v>
      </c>
      <c r="I4" s="217" t="s">
        <v>393</v>
      </c>
      <c r="J4" s="217" t="s">
        <v>409</v>
      </c>
      <c r="K4" s="217" t="s">
        <v>409</v>
      </c>
      <c r="L4" s="217" t="s">
        <v>419</v>
      </c>
      <c r="M4" s="324">
        <v>9</v>
      </c>
      <c r="N4" s="324">
        <v>0</v>
      </c>
      <c r="O4" s="324">
        <v>1</v>
      </c>
      <c r="P4" s="324">
        <v>0</v>
      </c>
      <c r="Q4" s="328">
        <v>242.5</v>
      </c>
      <c r="R4" s="328">
        <v>107.5</v>
      </c>
      <c r="S4" s="332">
        <v>2.2558139534883721</v>
      </c>
      <c r="T4" s="328" t="s">
        <v>37</v>
      </c>
      <c r="U4" s="328" t="s">
        <v>37</v>
      </c>
      <c r="V4" s="332" t="s">
        <v>453</v>
      </c>
      <c r="W4" s="332" t="s">
        <v>454</v>
      </c>
      <c r="X4" s="332" t="s">
        <v>455</v>
      </c>
      <c r="Y4" s="217" t="s">
        <v>109</v>
      </c>
      <c r="Z4" s="175" t="s">
        <v>112</v>
      </c>
      <c r="AA4" s="170" t="s">
        <v>37</v>
      </c>
      <c r="AB4" s="175" t="s">
        <v>113</v>
      </c>
      <c r="AC4" s="265" t="s">
        <v>111</v>
      </c>
      <c r="AD4" s="175" t="s">
        <v>146</v>
      </c>
      <c r="AE4" s="176" t="s">
        <v>111</v>
      </c>
      <c r="AF4" s="297" t="s">
        <v>188</v>
      </c>
      <c r="AG4" s="176" t="s">
        <v>111</v>
      </c>
      <c r="AH4" s="278">
        <v>45317</v>
      </c>
      <c r="AI4" s="245" t="s">
        <v>289</v>
      </c>
      <c r="AJ4" s="452"/>
      <c r="AK4" s="452"/>
      <c r="AL4" s="452"/>
      <c r="AM4" s="452"/>
      <c r="AN4" s="452"/>
      <c r="AO4" s="452"/>
      <c r="AP4" s="452"/>
      <c r="AQ4" s="452"/>
      <c r="AR4" s="452"/>
      <c r="AS4" s="452"/>
      <c r="AT4" s="452"/>
      <c r="AU4" s="452"/>
      <c r="AV4" s="183">
        <v>45631</v>
      </c>
      <c r="AW4" t="s">
        <v>461</v>
      </c>
    </row>
    <row r="5" spans="1:49" x14ac:dyDescent="0.35">
      <c r="A5" s="172" t="s">
        <v>115</v>
      </c>
      <c r="B5" s="173" t="s">
        <v>116</v>
      </c>
      <c r="C5" s="174" t="s">
        <v>117</v>
      </c>
      <c r="D5" s="210" t="s">
        <v>100</v>
      </c>
      <c r="E5" s="380"/>
      <c r="F5" s="213" t="s">
        <v>298</v>
      </c>
      <c r="G5" s="212" t="s">
        <v>883</v>
      </c>
      <c r="H5" s="212" t="s">
        <v>819</v>
      </c>
      <c r="I5" s="217" t="s">
        <v>394</v>
      </c>
      <c r="J5" s="217" t="s">
        <v>409</v>
      </c>
      <c r="K5" s="217" t="s">
        <v>409</v>
      </c>
      <c r="L5" s="217" t="s">
        <v>420</v>
      </c>
      <c r="M5" s="324">
        <v>0</v>
      </c>
      <c r="N5" s="324">
        <v>0</v>
      </c>
      <c r="O5" s="324">
        <v>26</v>
      </c>
      <c r="P5" s="324">
        <v>3</v>
      </c>
      <c r="Q5" s="328">
        <v>170</v>
      </c>
      <c r="R5" s="328">
        <v>80</v>
      </c>
      <c r="S5" s="328">
        <v>2.125</v>
      </c>
      <c r="T5" s="328" t="s">
        <v>37</v>
      </c>
      <c r="U5" s="328" t="s">
        <v>37</v>
      </c>
      <c r="V5" s="328" t="s">
        <v>202</v>
      </c>
      <c r="W5" s="332" t="s">
        <v>454</v>
      </c>
      <c r="X5" s="328" t="s">
        <v>456</v>
      </c>
      <c r="Y5" s="217" t="s">
        <v>118</v>
      </c>
      <c r="Z5" s="175" t="s">
        <v>119</v>
      </c>
      <c r="AA5" s="170" t="s">
        <v>37</v>
      </c>
      <c r="AB5" s="177">
        <v>45196</v>
      </c>
      <c r="AC5" s="243" t="s">
        <v>111</v>
      </c>
      <c r="AD5" s="171">
        <v>45281</v>
      </c>
      <c r="AE5" s="170" t="s">
        <v>271</v>
      </c>
      <c r="AF5" s="278">
        <v>45316</v>
      </c>
      <c r="AG5" s="196" t="s">
        <v>289</v>
      </c>
      <c r="AH5" s="452"/>
      <c r="AI5" s="452"/>
      <c r="AJ5" s="452"/>
      <c r="AK5" s="452"/>
      <c r="AL5" s="452"/>
      <c r="AM5" s="452"/>
      <c r="AN5" s="452"/>
      <c r="AO5" s="452"/>
      <c r="AP5" s="452"/>
      <c r="AQ5" s="452"/>
      <c r="AR5" s="452"/>
      <c r="AS5" s="452"/>
      <c r="AT5" s="452"/>
      <c r="AU5" s="452"/>
      <c r="AV5" s="338">
        <v>45441</v>
      </c>
      <c r="AW5" t="s">
        <v>461</v>
      </c>
    </row>
    <row r="6" spans="1:49" x14ac:dyDescent="0.35">
      <c r="A6" s="172" t="s">
        <v>122</v>
      </c>
      <c r="B6" s="173" t="s">
        <v>123</v>
      </c>
      <c r="C6" s="174" t="s">
        <v>120</v>
      </c>
      <c r="D6" s="210" t="s">
        <v>101</v>
      </c>
      <c r="E6" s="380"/>
      <c r="F6" s="213" t="s">
        <v>298</v>
      </c>
      <c r="G6" s="212" t="s">
        <v>883</v>
      </c>
      <c r="H6" s="212" t="s">
        <v>874</v>
      </c>
      <c r="I6" s="217" t="s">
        <v>395</v>
      </c>
      <c r="J6" s="217" t="s">
        <v>410</v>
      </c>
      <c r="K6" s="217" t="s">
        <v>415</v>
      </c>
      <c r="L6" s="217" t="s">
        <v>421</v>
      </c>
      <c r="M6" s="325">
        <v>0</v>
      </c>
      <c r="N6" s="325">
        <v>0</v>
      </c>
      <c r="O6" s="325">
        <v>0</v>
      </c>
      <c r="P6" s="325">
        <v>0</v>
      </c>
      <c r="Q6" s="328" t="s">
        <v>37</v>
      </c>
      <c r="R6" s="328" t="s">
        <v>37</v>
      </c>
      <c r="S6" s="328" t="s">
        <v>37</v>
      </c>
      <c r="T6" s="328" t="s">
        <v>37</v>
      </c>
      <c r="U6" s="328" t="s">
        <v>37</v>
      </c>
      <c r="V6" s="328" t="s">
        <v>457</v>
      </c>
      <c r="W6" s="328" t="s">
        <v>491</v>
      </c>
      <c r="X6" s="328" t="s">
        <v>220</v>
      </c>
      <c r="Y6" s="217" t="s">
        <v>121</v>
      </c>
      <c r="Z6" s="175" t="s">
        <v>124</v>
      </c>
      <c r="AA6" s="170" t="s">
        <v>37</v>
      </c>
      <c r="AB6" s="177">
        <v>45218</v>
      </c>
      <c r="AC6" s="243" t="s">
        <v>111</v>
      </c>
      <c r="AD6" s="197">
        <v>45259</v>
      </c>
      <c r="AE6" s="196" t="s">
        <v>289</v>
      </c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338">
        <v>45652</v>
      </c>
      <c r="AW6" t="s">
        <v>461</v>
      </c>
    </row>
    <row r="7" spans="1:49" x14ac:dyDescent="0.35">
      <c r="A7" s="172" t="s">
        <v>128</v>
      </c>
      <c r="B7" s="173" t="s">
        <v>126</v>
      </c>
      <c r="C7" s="174" t="s">
        <v>127</v>
      </c>
      <c r="D7" s="210" t="s">
        <v>102</v>
      </c>
      <c r="E7" s="380"/>
      <c r="F7" s="213" t="s">
        <v>298</v>
      </c>
      <c r="G7" s="212" t="s">
        <v>882</v>
      </c>
      <c r="H7" s="212" t="s">
        <v>37</v>
      </c>
      <c r="I7" s="217" t="s">
        <v>396</v>
      </c>
      <c r="J7" s="217" t="s">
        <v>409</v>
      </c>
      <c r="K7" s="217" t="s">
        <v>409</v>
      </c>
      <c r="L7" s="217" t="s">
        <v>409</v>
      </c>
      <c r="M7" s="324">
        <v>0</v>
      </c>
      <c r="N7" s="324">
        <v>0</v>
      </c>
      <c r="O7" s="217" t="s">
        <v>409</v>
      </c>
      <c r="P7" s="217" t="s">
        <v>409</v>
      </c>
      <c r="Q7" s="328">
        <v>21</v>
      </c>
      <c r="R7" s="328">
        <v>25</v>
      </c>
      <c r="S7" s="328">
        <v>0.84</v>
      </c>
      <c r="T7" s="328" t="s">
        <v>37</v>
      </c>
      <c r="U7" s="328" t="s">
        <v>37</v>
      </c>
      <c r="V7" s="328" t="s">
        <v>463</v>
      </c>
      <c r="W7" s="328" t="s">
        <v>462</v>
      </c>
      <c r="X7" s="328" t="s">
        <v>409</v>
      </c>
      <c r="Y7" s="217" t="s">
        <v>129</v>
      </c>
      <c r="Z7" s="175" t="s">
        <v>131</v>
      </c>
      <c r="AA7" s="170" t="s">
        <v>37</v>
      </c>
      <c r="AB7" s="177">
        <v>45218</v>
      </c>
      <c r="AC7" s="243" t="s">
        <v>111</v>
      </c>
      <c r="AD7" s="171">
        <v>45294</v>
      </c>
      <c r="AE7" s="170" t="s">
        <v>111</v>
      </c>
      <c r="AF7" s="190">
        <v>45364</v>
      </c>
      <c r="AG7" s="176" t="s">
        <v>111</v>
      </c>
      <c r="AH7" s="190">
        <v>45434</v>
      </c>
      <c r="AI7" s="265" t="s">
        <v>111</v>
      </c>
      <c r="AJ7" s="220">
        <v>45525</v>
      </c>
      <c r="AK7" s="265" t="s">
        <v>111</v>
      </c>
      <c r="AL7" s="200">
        <v>45616</v>
      </c>
      <c r="AM7" s="311" t="s">
        <v>111</v>
      </c>
      <c r="AN7" s="200">
        <v>45707</v>
      </c>
      <c r="AO7" s="254"/>
      <c r="AP7" s="200">
        <v>45805</v>
      </c>
      <c r="AQ7" s="254"/>
      <c r="AR7" s="195">
        <v>45897</v>
      </c>
      <c r="AS7" s="245" t="s">
        <v>289</v>
      </c>
      <c r="AT7" s="455"/>
      <c r="AU7" s="456"/>
      <c r="AV7" s="338">
        <v>46112</v>
      </c>
      <c r="AW7" t="s">
        <v>460</v>
      </c>
    </row>
    <row r="8" spans="1:49" x14ac:dyDescent="0.35">
      <c r="A8" s="172" t="s">
        <v>135</v>
      </c>
      <c r="B8" s="173" t="s">
        <v>132</v>
      </c>
      <c r="C8" s="174" t="s">
        <v>133</v>
      </c>
      <c r="D8" s="210" t="s">
        <v>103</v>
      </c>
      <c r="E8" s="380"/>
      <c r="F8" s="213" t="s">
        <v>298</v>
      </c>
      <c r="G8" s="212" t="s">
        <v>875</v>
      </c>
      <c r="H8" s="212" t="s">
        <v>875</v>
      </c>
      <c r="I8" s="217" t="s">
        <v>397</v>
      </c>
      <c r="J8" s="217" t="s">
        <v>409</v>
      </c>
      <c r="K8" s="217" t="s">
        <v>409</v>
      </c>
      <c r="L8" s="217" t="s">
        <v>875</v>
      </c>
      <c r="M8" s="324">
        <v>2</v>
      </c>
      <c r="N8" s="324">
        <v>1</v>
      </c>
      <c r="O8" s="217" t="s">
        <v>875</v>
      </c>
      <c r="P8" s="217" t="s">
        <v>875</v>
      </c>
      <c r="Q8" s="328" t="s">
        <v>37</v>
      </c>
      <c r="R8" s="328" t="s">
        <v>37</v>
      </c>
      <c r="S8" s="328" t="s">
        <v>37</v>
      </c>
      <c r="T8" s="328" t="s">
        <v>875</v>
      </c>
      <c r="U8" s="328" t="s">
        <v>875</v>
      </c>
      <c r="V8" s="328" t="s">
        <v>875</v>
      </c>
      <c r="W8" s="328" t="s">
        <v>875</v>
      </c>
      <c r="X8" s="328" t="s">
        <v>875</v>
      </c>
      <c r="Y8" s="217" t="s">
        <v>136</v>
      </c>
      <c r="Z8" s="175" t="s">
        <v>134</v>
      </c>
      <c r="AA8" s="170" t="s">
        <v>37</v>
      </c>
      <c r="AB8" s="177">
        <v>45224</v>
      </c>
      <c r="AC8" s="243" t="s">
        <v>111</v>
      </c>
      <c r="AD8" s="171">
        <v>45309</v>
      </c>
      <c r="AE8" s="170" t="s">
        <v>111</v>
      </c>
      <c r="AF8" s="190">
        <v>45399</v>
      </c>
      <c r="AG8" s="170" t="s">
        <v>111</v>
      </c>
      <c r="AH8" s="190">
        <v>45490</v>
      </c>
      <c r="AI8" s="243" t="s">
        <v>111</v>
      </c>
      <c r="AJ8" s="200">
        <v>45581</v>
      </c>
      <c r="AK8" s="265" t="s">
        <v>111</v>
      </c>
      <c r="AL8" s="200">
        <v>45679</v>
      </c>
      <c r="AM8" s="254"/>
      <c r="AN8" s="200">
        <v>45770</v>
      </c>
      <c r="AO8" s="254"/>
      <c r="AP8" s="171">
        <v>45861</v>
      </c>
      <c r="AQ8" s="254"/>
      <c r="AR8" s="171">
        <v>45952</v>
      </c>
      <c r="AS8" s="254"/>
      <c r="AT8" s="171">
        <v>46050</v>
      </c>
      <c r="AU8" s="247"/>
      <c r="AV8" s="338">
        <v>46050</v>
      </c>
      <c r="AW8" t="s">
        <v>460</v>
      </c>
    </row>
    <row r="9" spans="1:49" ht="15" thickBot="1" x14ac:dyDescent="0.4">
      <c r="A9" s="172" t="s">
        <v>137</v>
      </c>
      <c r="B9" s="173" t="s">
        <v>138</v>
      </c>
      <c r="C9" s="174" t="s">
        <v>139</v>
      </c>
      <c r="D9" s="210" t="s">
        <v>104</v>
      </c>
      <c r="E9" s="380"/>
      <c r="F9" s="213" t="s">
        <v>297</v>
      </c>
      <c r="G9" s="212" t="s">
        <v>882</v>
      </c>
      <c r="H9" s="212" t="s">
        <v>874</v>
      </c>
      <c r="I9" s="217" t="s">
        <v>398</v>
      </c>
      <c r="J9" s="217" t="s">
        <v>409</v>
      </c>
      <c r="K9" s="217" t="s">
        <v>409</v>
      </c>
      <c r="L9" s="217" t="s">
        <v>438</v>
      </c>
      <c r="M9" s="324">
        <v>2</v>
      </c>
      <c r="N9" s="324">
        <v>0</v>
      </c>
      <c r="O9" s="217" t="s">
        <v>409</v>
      </c>
      <c r="P9" s="217" t="s">
        <v>409</v>
      </c>
      <c r="Q9" s="328">
        <v>277.5</v>
      </c>
      <c r="R9" s="328">
        <v>115</v>
      </c>
      <c r="S9" s="328">
        <v>2.4130434782608696</v>
      </c>
      <c r="T9" s="342">
        <v>150</v>
      </c>
      <c r="U9" s="343">
        <v>10</v>
      </c>
      <c r="V9" s="328" t="s">
        <v>464</v>
      </c>
      <c r="W9" s="328" t="s">
        <v>465</v>
      </c>
      <c r="X9" s="328"/>
      <c r="Y9" s="217" t="s">
        <v>140</v>
      </c>
      <c r="Z9" s="175" t="s">
        <v>141</v>
      </c>
      <c r="AA9" s="170" t="s">
        <v>37</v>
      </c>
      <c r="AB9" s="171">
        <v>45250</v>
      </c>
      <c r="AC9" s="243" t="s">
        <v>191</v>
      </c>
      <c r="AD9" s="171">
        <v>45350</v>
      </c>
      <c r="AE9" s="170" t="s">
        <v>191</v>
      </c>
      <c r="AF9" s="190">
        <v>45441</v>
      </c>
      <c r="AG9" s="170" t="s">
        <v>191</v>
      </c>
      <c r="AH9" s="290">
        <v>45532</v>
      </c>
      <c r="AI9" s="266" t="s">
        <v>191</v>
      </c>
      <c r="AJ9" s="200">
        <v>45630</v>
      </c>
      <c r="AK9" s="254"/>
      <c r="AL9" s="200">
        <v>45719</v>
      </c>
      <c r="AM9" s="254"/>
      <c r="AN9" s="171">
        <v>45812</v>
      </c>
      <c r="AO9" s="254"/>
      <c r="AP9" s="171">
        <v>45874</v>
      </c>
      <c r="AQ9" s="254"/>
      <c r="AR9" s="171">
        <v>45946</v>
      </c>
      <c r="AS9" s="254"/>
      <c r="AT9" s="171">
        <v>46050</v>
      </c>
      <c r="AU9" s="245" t="s">
        <v>289</v>
      </c>
      <c r="AV9" s="338">
        <v>46114</v>
      </c>
      <c r="AW9" t="s">
        <v>460</v>
      </c>
    </row>
    <row r="10" spans="1:49" x14ac:dyDescent="0.35">
      <c r="A10" s="172" t="s">
        <v>149</v>
      </c>
      <c r="B10" s="173" t="s">
        <v>150</v>
      </c>
      <c r="C10" s="174" t="s">
        <v>151</v>
      </c>
      <c r="D10" s="210" t="s">
        <v>152</v>
      </c>
      <c r="E10" s="380" t="s">
        <v>887</v>
      </c>
      <c r="F10" s="214" t="s">
        <v>299</v>
      </c>
      <c r="G10" s="212" t="s">
        <v>882</v>
      </c>
      <c r="H10" s="212" t="s">
        <v>37</v>
      </c>
      <c r="I10" s="315">
        <v>140</v>
      </c>
      <c r="J10" s="315">
        <v>9.4</v>
      </c>
      <c r="K10" s="315">
        <v>0</v>
      </c>
      <c r="L10" s="315">
        <v>2459.6999999999998</v>
      </c>
      <c r="M10" s="324">
        <v>0</v>
      </c>
      <c r="N10" s="324">
        <v>0</v>
      </c>
      <c r="O10" s="324">
        <v>0</v>
      </c>
      <c r="P10" s="324">
        <v>0</v>
      </c>
      <c r="Q10" s="328" t="s">
        <v>37</v>
      </c>
      <c r="R10" s="328" t="s">
        <v>37</v>
      </c>
      <c r="S10" s="328" t="s">
        <v>37</v>
      </c>
      <c r="T10" s="341" t="s">
        <v>37</v>
      </c>
      <c r="U10" s="341" t="s">
        <v>37</v>
      </c>
      <c r="V10" s="328" t="s">
        <v>466</v>
      </c>
      <c r="W10" s="328" t="s">
        <v>467</v>
      </c>
      <c r="X10" s="328" t="s">
        <v>468</v>
      </c>
      <c r="Y10" s="217" t="s">
        <v>170</v>
      </c>
      <c r="Z10" s="175" t="s">
        <v>153</v>
      </c>
      <c r="AA10" s="170" t="s">
        <v>37</v>
      </c>
      <c r="AB10" s="171">
        <v>45274</v>
      </c>
      <c r="AC10" s="243" t="s">
        <v>111</v>
      </c>
      <c r="AD10" s="177">
        <v>45344</v>
      </c>
      <c r="AE10" s="170" t="s">
        <v>111</v>
      </c>
      <c r="AF10" s="278">
        <v>45414</v>
      </c>
      <c r="AG10" s="196" t="s">
        <v>289</v>
      </c>
      <c r="AH10" s="443"/>
      <c r="AI10" s="444"/>
      <c r="AJ10" s="444"/>
      <c r="AK10" s="444"/>
      <c r="AL10" s="444"/>
      <c r="AM10" s="444"/>
      <c r="AN10" s="444"/>
      <c r="AO10" s="444"/>
      <c r="AP10" s="444"/>
      <c r="AQ10" s="444"/>
      <c r="AR10" s="444"/>
      <c r="AS10" s="444"/>
      <c r="AT10" s="444"/>
      <c r="AU10" s="444"/>
      <c r="AV10" s="338">
        <v>45982</v>
      </c>
      <c r="AW10" t="s">
        <v>461</v>
      </c>
    </row>
    <row r="11" spans="1:49" ht="15.75" customHeight="1" x14ac:dyDescent="0.35">
      <c r="A11" s="172" t="s">
        <v>158</v>
      </c>
      <c r="B11" s="173" t="s">
        <v>159</v>
      </c>
      <c r="C11" s="174" t="s">
        <v>160</v>
      </c>
      <c r="D11" s="210" t="s">
        <v>157</v>
      </c>
      <c r="E11" s="380"/>
      <c r="F11" s="213" t="s">
        <v>298</v>
      </c>
      <c r="G11" s="212" t="s">
        <v>882</v>
      </c>
      <c r="H11" s="212" t="s">
        <v>816</v>
      </c>
      <c r="I11" s="217" t="s">
        <v>399</v>
      </c>
      <c r="J11" s="315">
        <v>0</v>
      </c>
      <c r="K11" s="315">
        <v>0</v>
      </c>
      <c r="L11" s="315">
        <v>0</v>
      </c>
      <c r="M11" s="324">
        <v>0</v>
      </c>
      <c r="N11" s="324">
        <v>0</v>
      </c>
      <c r="O11" s="324">
        <v>0</v>
      </c>
      <c r="P11" s="324">
        <v>0</v>
      </c>
      <c r="Q11" s="328">
        <v>207.5</v>
      </c>
      <c r="R11" s="328">
        <v>100</v>
      </c>
      <c r="S11" s="328">
        <v>2.0750000000000002</v>
      </c>
      <c r="T11" s="341">
        <v>165</v>
      </c>
      <c r="U11" s="341">
        <v>72.5</v>
      </c>
      <c r="V11" s="328" t="s">
        <v>409</v>
      </c>
      <c r="W11" s="328" t="s">
        <v>409</v>
      </c>
      <c r="X11" s="328" t="s">
        <v>409</v>
      </c>
      <c r="Y11" s="217" t="s">
        <v>286</v>
      </c>
      <c r="Z11" s="175" t="s">
        <v>165</v>
      </c>
      <c r="AA11" s="170" t="s">
        <v>37</v>
      </c>
      <c r="AB11" s="198">
        <v>45299</v>
      </c>
      <c r="AC11" s="243" t="s">
        <v>191</v>
      </c>
      <c r="AD11" s="177">
        <v>45364</v>
      </c>
      <c r="AE11" s="170" t="s">
        <v>191</v>
      </c>
      <c r="AF11" s="190">
        <v>45427</v>
      </c>
      <c r="AG11" s="170" t="s">
        <v>191</v>
      </c>
      <c r="AH11" s="190">
        <v>45476</v>
      </c>
      <c r="AI11" s="243" t="s">
        <v>191</v>
      </c>
      <c r="AJ11" s="221">
        <v>45559</v>
      </c>
      <c r="AK11" s="243" t="s">
        <v>191</v>
      </c>
      <c r="AL11" s="177">
        <v>45630</v>
      </c>
      <c r="AM11" s="243" t="s">
        <v>191</v>
      </c>
      <c r="AN11" s="195">
        <v>45671</v>
      </c>
      <c r="AO11" s="245" t="s">
        <v>289</v>
      </c>
      <c r="AP11" s="443"/>
      <c r="AQ11" s="444"/>
      <c r="AR11" s="444"/>
      <c r="AS11" s="444"/>
      <c r="AT11" s="444"/>
      <c r="AU11" s="444"/>
      <c r="AV11" s="338">
        <v>45875</v>
      </c>
      <c r="AW11" t="s">
        <v>461</v>
      </c>
    </row>
    <row r="12" spans="1:49" ht="15" customHeight="1" x14ac:dyDescent="0.35">
      <c r="A12" s="172" t="s">
        <v>161</v>
      </c>
      <c r="B12" s="173" t="s">
        <v>162</v>
      </c>
      <c r="C12" s="201" t="s">
        <v>163</v>
      </c>
      <c r="D12" s="210" t="s">
        <v>164</v>
      </c>
      <c r="E12" s="380"/>
      <c r="F12" s="213" t="s">
        <v>297</v>
      </c>
      <c r="G12" s="212" t="s">
        <v>875</v>
      </c>
      <c r="H12" s="212" t="s">
        <v>875</v>
      </c>
      <c r="I12" s="315">
        <v>0</v>
      </c>
      <c r="J12" s="315">
        <v>0</v>
      </c>
      <c r="K12" s="315">
        <v>0</v>
      </c>
      <c r="L12" s="217" t="s">
        <v>875</v>
      </c>
      <c r="M12" s="324">
        <v>0</v>
      </c>
      <c r="N12" s="324">
        <v>0</v>
      </c>
      <c r="O12" s="217" t="s">
        <v>875</v>
      </c>
      <c r="P12" s="217" t="s">
        <v>875</v>
      </c>
      <c r="Q12" s="328">
        <v>257.5</v>
      </c>
      <c r="R12" s="328">
        <v>92.5</v>
      </c>
      <c r="S12" s="328">
        <v>2.7837837837837838</v>
      </c>
      <c r="T12" s="341" t="s">
        <v>875</v>
      </c>
      <c r="U12" s="341" t="s">
        <v>875</v>
      </c>
      <c r="V12" s="341" t="s">
        <v>875</v>
      </c>
      <c r="W12" s="341" t="s">
        <v>875</v>
      </c>
      <c r="X12" s="341" t="s">
        <v>875</v>
      </c>
      <c r="Y12" s="217" t="s">
        <v>141</v>
      </c>
      <c r="Z12" s="175" t="s">
        <v>165</v>
      </c>
      <c r="AA12" s="170" t="s">
        <v>37</v>
      </c>
      <c r="AB12" s="171">
        <v>44934</v>
      </c>
      <c r="AC12" s="243" t="s">
        <v>191</v>
      </c>
      <c r="AD12" s="177">
        <v>45355</v>
      </c>
      <c r="AE12" s="170" t="s">
        <v>191</v>
      </c>
      <c r="AF12" s="239">
        <v>45428</v>
      </c>
      <c r="AG12" s="192" t="s">
        <v>111</v>
      </c>
      <c r="AH12" s="291">
        <v>45525</v>
      </c>
      <c r="AI12" s="267" t="s">
        <v>111</v>
      </c>
      <c r="AJ12" s="200">
        <v>45617</v>
      </c>
      <c r="AK12" s="265" t="s">
        <v>111</v>
      </c>
      <c r="AL12" s="177">
        <v>45728</v>
      </c>
      <c r="AM12" s="254"/>
      <c r="AN12" s="171">
        <v>45819</v>
      </c>
      <c r="AO12" s="254"/>
      <c r="AP12" s="171">
        <v>45910</v>
      </c>
      <c r="AQ12" s="254"/>
      <c r="AR12" s="171">
        <v>46001</v>
      </c>
      <c r="AS12" s="305"/>
      <c r="AT12" s="168">
        <v>46100</v>
      </c>
      <c r="AU12" s="255"/>
      <c r="AV12" s="168">
        <v>46100</v>
      </c>
      <c r="AW12" t="s">
        <v>460</v>
      </c>
    </row>
    <row r="13" spans="1:49" x14ac:dyDescent="0.35">
      <c r="A13" s="172" t="s">
        <v>166</v>
      </c>
      <c r="B13" s="173" t="s">
        <v>167</v>
      </c>
      <c r="C13" s="174" t="s">
        <v>168</v>
      </c>
      <c r="D13" s="210" t="s">
        <v>169</v>
      </c>
      <c r="E13" s="380"/>
      <c r="F13" s="213" t="s">
        <v>297</v>
      </c>
      <c r="G13" s="212" t="s">
        <v>875</v>
      </c>
      <c r="H13" s="212" t="s">
        <v>875</v>
      </c>
      <c r="I13" s="217" t="s">
        <v>400</v>
      </c>
      <c r="J13" s="315">
        <v>0</v>
      </c>
      <c r="K13" s="315">
        <v>0</v>
      </c>
      <c r="L13" s="217" t="s">
        <v>875</v>
      </c>
      <c r="M13" s="324">
        <v>0</v>
      </c>
      <c r="N13" s="324">
        <v>0</v>
      </c>
      <c r="O13" s="217" t="s">
        <v>875</v>
      </c>
      <c r="P13" s="217" t="s">
        <v>875</v>
      </c>
      <c r="Q13" s="328">
        <v>287.5</v>
      </c>
      <c r="R13" s="328">
        <v>195</v>
      </c>
      <c r="S13" s="328">
        <v>1.4743589743589745</v>
      </c>
      <c r="T13" s="341" t="s">
        <v>875</v>
      </c>
      <c r="U13" s="341" t="s">
        <v>875</v>
      </c>
      <c r="V13" s="341" t="s">
        <v>875</v>
      </c>
      <c r="W13" s="341" t="s">
        <v>875</v>
      </c>
      <c r="X13" s="341" t="s">
        <v>875</v>
      </c>
      <c r="Y13" s="217" t="s">
        <v>171</v>
      </c>
      <c r="Z13" s="175" t="s">
        <v>174</v>
      </c>
      <c r="AA13" s="170" t="s">
        <v>37</v>
      </c>
      <c r="AB13" s="171">
        <v>45295</v>
      </c>
      <c r="AC13" s="243" t="s">
        <v>111</v>
      </c>
      <c r="AD13" s="171">
        <v>45386</v>
      </c>
      <c r="AE13" s="170" t="s">
        <v>111</v>
      </c>
      <c r="AF13" s="239">
        <v>45449</v>
      </c>
      <c r="AG13" s="192" t="s">
        <v>111</v>
      </c>
      <c r="AH13" s="291">
        <v>45547</v>
      </c>
      <c r="AI13" s="268" t="s">
        <v>111</v>
      </c>
      <c r="AJ13" s="200">
        <v>45638</v>
      </c>
      <c r="AK13" s="254"/>
      <c r="AL13" s="177">
        <v>45750</v>
      </c>
      <c r="AM13" s="254"/>
      <c r="AN13" s="171">
        <v>45841</v>
      </c>
      <c r="AO13" s="254"/>
      <c r="AP13" s="171">
        <v>45932</v>
      </c>
      <c r="AQ13" s="254"/>
      <c r="AR13" s="275"/>
      <c r="AS13" s="271"/>
      <c r="AT13" s="275"/>
      <c r="AU13" s="276"/>
      <c r="AV13" s="338">
        <v>46030</v>
      </c>
      <c r="AW13" t="s">
        <v>460</v>
      </c>
    </row>
    <row r="14" spans="1:49" x14ac:dyDescent="0.35">
      <c r="A14" s="172" t="s">
        <v>142</v>
      </c>
      <c r="B14" s="173" t="s">
        <v>143</v>
      </c>
      <c r="C14" s="174" t="s">
        <v>144</v>
      </c>
      <c r="D14" s="210" t="s">
        <v>172</v>
      </c>
      <c r="E14" s="380" t="s">
        <v>888</v>
      </c>
      <c r="F14" s="214" t="s">
        <v>299</v>
      </c>
      <c r="G14" s="212" t="s">
        <v>882</v>
      </c>
      <c r="H14" s="212" t="s">
        <v>37</v>
      </c>
      <c r="I14" s="315">
        <v>69.2</v>
      </c>
      <c r="J14" s="315">
        <v>0</v>
      </c>
      <c r="K14" s="315">
        <v>0</v>
      </c>
      <c r="L14" s="315">
        <v>16</v>
      </c>
      <c r="M14" s="324">
        <v>0</v>
      </c>
      <c r="N14" s="324">
        <v>0</v>
      </c>
      <c r="O14" s="324">
        <v>0</v>
      </c>
      <c r="P14" s="324">
        <v>0</v>
      </c>
      <c r="Q14" s="328">
        <v>200</v>
      </c>
      <c r="R14" s="328">
        <v>0</v>
      </c>
      <c r="S14" s="328">
        <v>200</v>
      </c>
      <c r="T14" s="341">
        <v>170</v>
      </c>
      <c r="U14" s="341">
        <v>35</v>
      </c>
      <c r="V14" s="328" t="s">
        <v>409</v>
      </c>
      <c r="W14" s="328" t="s">
        <v>409</v>
      </c>
      <c r="X14" s="328" t="s">
        <v>409</v>
      </c>
      <c r="Y14" s="217" t="s">
        <v>175</v>
      </c>
      <c r="Z14" s="175" t="s">
        <v>176</v>
      </c>
      <c r="AA14" s="170" t="s">
        <v>37</v>
      </c>
      <c r="AB14" s="171">
        <v>44930</v>
      </c>
      <c r="AC14" s="243" t="s">
        <v>191</v>
      </c>
      <c r="AD14" s="195">
        <v>45350</v>
      </c>
      <c r="AE14" s="196" t="s">
        <v>289</v>
      </c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5"/>
      <c r="AS14" s="445"/>
      <c r="AT14" s="445"/>
      <c r="AU14" s="445"/>
      <c r="AV14" s="338">
        <v>45408</v>
      </c>
      <c r="AW14" t="s">
        <v>461</v>
      </c>
    </row>
    <row r="15" spans="1:49" x14ac:dyDescent="0.35">
      <c r="A15" s="172" t="s">
        <v>155</v>
      </c>
      <c r="B15" s="173" t="s">
        <v>116</v>
      </c>
      <c r="C15" s="201" t="s">
        <v>156</v>
      </c>
      <c r="D15" s="210" t="s">
        <v>173</v>
      </c>
      <c r="E15" s="380" t="s">
        <v>889</v>
      </c>
      <c r="F15" s="214" t="s">
        <v>299</v>
      </c>
      <c r="G15" s="375" t="s">
        <v>884</v>
      </c>
      <c r="H15" s="212" t="s">
        <v>37</v>
      </c>
      <c r="I15" s="315">
        <v>54</v>
      </c>
      <c r="J15" s="315">
        <v>0</v>
      </c>
      <c r="K15" s="315">
        <v>0</v>
      </c>
      <c r="L15" s="217" t="s">
        <v>37</v>
      </c>
      <c r="M15" s="324">
        <v>0</v>
      </c>
      <c r="N15" s="324">
        <v>0</v>
      </c>
      <c r="O15" s="217" t="s">
        <v>37</v>
      </c>
      <c r="P15" s="217" t="s">
        <v>37</v>
      </c>
      <c r="Q15" s="328">
        <v>55</v>
      </c>
      <c r="R15" s="328">
        <v>97.5</v>
      </c>
      <c r="S15" s="328">
        <v>0.5641025641025641</v>
      </c>
      <c r="T15" s="341" t="s">
        <v>37</v>
      </c>
      <c r="U15" s="341" t="s">
        <v>37</v>
      </c>
      <c r="V15" s="328" t="s">
        <v>409</v>
      </c>
      <c r="W15" s="328" t="s">
        <v>409</v>
      </c>
      <c r="X15" s="328" t="s">
        <v>409</v>
      </c>
      <c r="Y15" s="217" t="s">
        <v>175</v>
      </c>
      <c r="Z15" s="175" t="s">
        <v>189</v>
      </c>
      <c r="AA15" s="170" t="s">
        <v>37</v>
      </c>
      <c r="AB15" s="171">
        <v>45301</v>
      </c>
      <c r="AC15" s="243" t="s">
        <v>191</v>
      </c>
      <c r="AD15" s="171">
        <v>45357</v>
      </c>
      <c r="AE15" s="170" t="s">
        <v>191</v>
      </c>
      <c r="AF15" s="190">
        <v>45392</v>
      </c>
      <c r="AG15" s="170" t="s">
        <v>191</v>
      </c>
      <c r="AH15" s="190">
        <v>45462</v>
      </c>
      <c r="AI15" s="243" t="s">
        <v>191</v>
      </c>
      <c r="AJ15" s="220">
        <v>45514</v>
      </c>
      <c r="AK15" s="243" t="s">
        <v>191</v>
      </c>
      <c r="AL15" s="200">
        <v>45609</v>
      </c>
      <c r="AM15" s="243" t="s">
        <v>191</v>
      </c>
      <c r="AN15" s="200">
        <v>45686</v>
      </c>
      <c r="AO15" s="254"/>
      <c r="AP15" s="307">
        <v>45795</v>
      </c>
      <c r="AQ15" s="245" t="s">
        <v>375</v>
      </c>
      <c r="AR15" s="446"/>
      <c r="AS15" s="446"/>
      <c r="AT15" s="446"/>
      <c r="AU15" s="446"/>
      <c r="AV15" s="338">
        <v>45795</v>
      </c>
      <c r="AW15" t="s">
        <v>461</v>
      </c>
    </row>
    <row r="16" spans="1:49" x14ac:dyDescent="0.35">
      <c r="A16" s="172" t="s">
        <v>177</v>
      </c>
      <c r="B16" s="173" t="s">
        <v>178</v>
      </c>
      <c r="C16" s="174" t="s">
        <v>179</v>
      </c>
      <c r="D16" s="210" t="s">
        <v>180</v>
      </c>
      <c r="E16" s="380"/>
      <c r="F16" s="213" t="s">
        <v>300</v>
      </c>
      <c r="G16" s="212" t="s">
        <v>882</v>
      </c>
      <c r="H16" s="212" t="s">
        <v>873</v>
      </c>
      <c r="I16" s="315">
        <v>33.700000000000003</v>
      </c>
      <c r="J16" s="315">
        <v>3.9</v>
      </c>
      <c r="K16" s="315">
        <v>0</v>
      </c>
      <c r="L16" s="315">
        <v>7.2</v>
      </c>
      <c r="M16" s="324">
        <v>0</v>
      </c>
      <c r="N16" s="324">
        <v>0</v>
      </c>
      <c r="O16" s="324">
        <v>0</v>
      </c>
      <c r="P16" s="324">
        <v>0</v>
      </c>
      <c r="Q16" s="328">
        <v>25</v>
      </c>
      <c r="R16" s="328">
        <v>35</v>
      </c>
      <c r="S16" s="328">
        <v>0.7142857142857143</v>
      </c>
      <c r="T16" s="341" t="s">
        <v>37</v>
      </c>
      <c r="U16" s="341" t="s">
        <v>37</v>
      </c>
      <c r="V16" s="328" t="s">
        <v>469</v>
      </c>
      <c r="W16" s="328" t="s">
        <v>489</v>
      </c>
      <c r="X16" s="328" t="s">
        <v>409</v>
      </c>
      <c r="Y16" s="217" t="s">
        <v>186</v>
      </c>
      <c r="Z16" s="175" t="s">
        <v>187</v>
      </c>
      <c r="AA16" s="170" t="s">
        <v>37</v>
      </c>
      <c r="AB16" s="171">
        <v>45378</v>
      </c>
      <c r="AC16" s="243" t="s">
        <v>191</v>
      </c>
      <c r="AD16" s="168">
        <v>45511</v>
      </c>
      <c r="AE16" s="170" t="s">
        <v>191</v>
      </c>
      <c r="AF16" s="238">
        <v>45630</v>
      </c>
      <c r="AG16" s="170" t="s">
        <v>191</v>
      </c>
      <c r="AH16" s="278">
        <v>45673</v>
      </c>
      <c r="AI16" s="245" t="s">
        <v>289</v>
      </c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338">
        <v>46101</v>
      </c>
      <c r="AW16" t="s">
        <v>460</v>
      </c>
    </row>
    <row r="17" spans="1:49" x14ac:dyDescent="0.35">
      <c r="A17" s="172" t="s">
        <v>182</v>
      </c>
      <c r="B17" s="173" t="s">
        <v>183</v>
      </c>
      <c r="C17" s="201" t="s">
        <v>184</v>
      </c>
      <c r="D17" s="210" t="s">
        <v>181</v>
      </c>
      <c r="E17" s="380" t="s">
        <v>889</v>
      </c>
      <c r="F17" s="214" t="s">
        <v>299</v>
      </c>
      <c r="G17" s="212" t="s">
        <v>882</v>
      </c>
      <c r="H17" s="212" t="s">
        <v>816</v>
      </c>
      <c r="I17" s="315">
        <v>0</v>
      </c>
      <c r="J17" s="315">
        <v>0</v>
      </c>
      <c r="K17" s="315">
        <v>0</v>
      </c>
      <c r="L17" s="217" t="s">
        <v>439</v>
      </c>
      <c r="M17" s="324">
        <v>0</v>
      </c>
      <c r="N17" s="324">
        <v>0</v>
      </c>
      <c r="O17" s="217" t="s">
        <v>409</v>
      </c>
      <c r="P17" s="217" t="s">
        <v>409</v>
      </c>
      <c r="Q17" s="328">
        <v>65</v>
      </c>
      <c r="R17" s="328">
        <v>87.5</v>
      </c>
      <c r="S17" s="328">
        <v>0.74285714285714288</v>
      </c>
      <c r="T17" s="341" t="s">
        <v>37</v>
      </c>
      <c r="U17" s="341" t="s">
        <v>37</v>
      </c>
      <c r="V17" s="328" t="s">
        <v>470</v>
      </c>
      <c r="W17" s="328" t="s">
        <v>471</v>
      </c>
      <c r="X17" s="328" t="s">
        <v>472</v>
      </c>
      <c r="Y17" s="217" t="s">
        <v>185</v>
      </c>
      <c r="Z17" s="175" t="s">
        <v>187</v>
      </c>
      <c r="AA17" s="170" t="s">
        <v>37</v>
      </c>
      <c r="AB17" s="171">
        <v>45316</v>
      </c>
      <c r="AC17" s="243" t="s">
        <v>191</v>
      </c>
      <c r="AD17" s="171">
        <v>45407</v>
      </c>
      <c r="AE17" s="170" t="s">
        <v>191</v>
      </c>
      <c r="AF17" s="280">
        <v>45490</v>
      </c>
      <c r="AG17" s="169" t="s">
        <v>191</v>
      </c>
      <c r="AH17" s="238">
        <v>45574</v>
      </c>
      <c r="AI17" s="266" t="s">
        <v>191</v>
      </c>
      <c r="AJ17" s="200">
        <v>45652</v>
      </c>
      <c r="AK17" s="254"/>
      <c r="AL17" s="171">
        <v>45826</v>
      </c>
      <c r="AM17" s="254"/>
      <c r="AN17" s="195">
        <v>45903</v>
      </c>
      <c r="AO17" s="245" t="s">
        <v>289</v>
      </c>
      <c r="AP17" s="443"/>
      <c r="AQ17" s="444"/>
      <c r="AR17" s="444"/>
      <c r="AS17" s="444"/>
      <c r="AT17" s="444"/>
      <c r="AU17" s="447"/>
      <c r="AV17" s="338">
        <v>46048</v>
      </c>
      <c r="AW17" t="s">
        <v>461</v>
      </c>
    </row>
    <row r="18" spans="1:49" x14ac:dyDescent="0.35">
      <c r="A18" s="172" t="s">
        <v>196</v>
      </c>
      <c r="B18" s="173" t="s">
        <v>194</v>
      </c>
      <c r="C18" s="201" t="s">
        <v>195</v>
      </c>
      <c r="D18" s="210" t="s">
        <v>193</v>
      </c>
      <c r="E18" s="380" t="s">
        <v>888</v>
      </c>
      <c r="F18" s="214" t="s">
        <v>299</v>
      </c>
      <c r="G18" s="212" t="s">
        <v>882</v>
      </c>
      <c r="H18" s="212" t="s">
        <v>819</v>
      </c>
      <c r="I18" s="315">
        <v>17.2</v>
      </c>
      <c r="J18" s="315">
        <v>0</v>
      </c>
      <c r="K18" s="315">
        <v>0</v>
      </c>
      <c r="L18" s="217" t="s">
        <v>409</v>
      </c>
      <c r="M18" s="324">
        <v>0</v>
      </c>
      <c r="N18" s="324">
        <v>0</v>
      </c>
      <c r="O18" s="217" t="s">
        <v>409</v>
      </c>
      <c r="P18" s="217" t="s">
        <v>409</v>
      </c>
      <c r="Q18" s="328">
        <v>281.5</v>
      </c>
      <c r="R18" s="328">
        <v>35</v>
      </c>
      <c r="S18" s="328">
        <v>8.0428571428571427</v>
      </c>
      <c r="T18" s="341"/>
      <c r="U18" s="341"/>
      <c r="V18" s="328" t="s">
        <v>473</v>
      </c>
      <c r="W18" s="328" t="s">
        <v>467</v>
      </c>
      <c r="X18" s="328"/>
      <c r="Y18" s="217" t="s">
        <v>197</v>
      </c>
      <c r="Z18" s="175" t="s">
        <v>213</v>
      </c>
      <c r="AA18" s="170" t="s">
        <v>37</v>
      </c>
      <c r="AB18" s="200">
        <v>45397</v>
      </c>
      <c r="AC18" s="266" t="s">
        <v>191</v>
      </c>
      <c r="AD18" s="168">
        <v>45446</v>
      </c>
      <c r="AE18" s="169" t="s">
        <v>191</v>
      </c>
      <c r="AF18" s="290">
        <v>45524</v>
      </c>
      <c r="AG18" s="169" t="s">
        <v>191</v>
      </c>
      <c r="AH18" s="238">
        <v>45602</v>
      </c>
      <c r="AI18" s="266" t="s">
        <v>191</v>
      </c>
      <c r="AJ18" s="200">
        <v>45660</v>
      </c>
      <c r="AK18" s="254"/>
      <c r="AL18" s="171">
        <v>45721</v>
      </c>
      <c r="AM18" s="254"/>
      <c r="AN18" s="171">
        <v>45812</v>
      </c>
      <c r="AO18" s="254"/>
      <c r="AP18" s="171">
        <v>45875</v>
      </c>
      <c r="AQ18" s="254"/>
      <c r="AR18" s="171">
        <v>45995</v>
      </c>
      <c r="AS18" s="254"/>
      <c r="AT18" s="195">
        <v>46043</v>
      </c>
      <c r="AU18" s="196" t="s">
        <v>289</v>
      </c>
      <c r="AV18" s="338">
        <v>46112</v>
      </c>
      <c r="AW18" t="s">
        <v>460</v>
      </c>
    </row>
    <row r="19" spans="1:49" x14ac:dyDescent="0.35">
      <c r="A19" s="172" t="s">
        <v>198</v>
      </c>
      <c r="B19" s="173" t="s">
        <v>199</v>
      </c>
      <c r="C19" s="201" t="s">
        <v>200</v>
      </c>
      <c r="D19" s="210" t="s">
        <v>201</v>
      </c>
      <c r="E19" s="380" t="s">
        <v>888</v>
      </c>
      <c r="F19" s="214" t="s">
        <v>299</v>
      </c>
      <c r="G19" s="212" t="s">
        <v>883</v>
      </c>
      <c r="H19" s="212" t="s">
        <v>37</v>
      </c>
      <c r="I19" s="315">
        <v>3.1</v>
      </c>
      <c r="J19" s="315">
        <v>0</v>
      </c>
      <c r="K19" s="315">
        <v>0</v>
      </c>
      <c r="L19" s="217" t="s">
        <v>37</v>
      </c>
      <c r="M19" s="324">
        <v>0</v>
      </c>
      <c r="N19" s="324">
        <v>0</v>
      </c>
      <c r="O19" s="324">
        <v>0</v>
      </c>
      <c r="P19" s="324">
        <v>0</v>
      </c>
      <c r="Q19" s="328">
        <v>265</v>
      </c>
      <c r="R19" s="328">
        <v>100</v>
      </c>
      <c r="S19" s="328">
        <v>2.65</v>
      </c>
      <c r="T19" s="341" t="s">
        <v>37</v>
      </c>
      <c r="U19" s="341" t="s">
        <v>37</v>
      </c>
      <c r="V19" s="328" t="s">
        <v>409</v>
      </c>
      <c r="W19" s="328" t="s">
        <v>409</v>
      </c>
      <c r="X19" s="328" t="s">
        <v>409</v>
      </c>
      <c r="Y19" s="217" t="s">
        <v>202</v>
      </c>
      <c r="Z19" s="175" t="s">
        <v>218</v>
      </c>
      <c r="AA19" s="170" t="s">
        <v>37</v>
      </c>
      <c r="AB19" s="171">
        <v>45397</v>
      </c>
      <c r="AC19" s="266" t="s">
        <v>111</v>
      </c>
      <c r="AD19" s="197">
        <v>45419</v>
      </c>
      <c r="AE19" s="245" t="s">
        <v>292</v>
      </c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8"/>
      <c r="AS19" s="448"/>
      <c r="AT19" s="448"/>
      <c r="AU19" s="448"/>
      <c r="AV19" s="338">
        <v>45856</v>
      </c>
      <c r="AW19" t="s">
        <v>461</v>
      </c>
    </row>
    <row r="20" spans="1:49" x14ac:dyDescent="0.35">
      <c r="A20" s="172" t="s">
        <v>203</v>
      </c>
      <c r="B20" s="173" t="s">
        <v>204</v>
      </c>
      <c r="C20" s="201" t="s">
        <v>205</v>
      </c>
      <c r="D20" s="210" t="s">
        <v>206</v>
      </c>
      <c r="E20" s="380" t="s">
        <v>889</v>
      </c>
      <c r="F20" s="214" t="s">
        <v>299</v>
      </c>
      <c r="G20" s="375" t="s">
        <v>875</v>
      </c>
      <c r="H20" s="212" t="s">
        <v>875</v>
      </c>
      <c r="I20" s="315">
        <v>38.200000000000003</v>
      </c>
      <c r="J20" s="315">
        <v>0</v>
      </c>
      <c r="K20" s="315">
        <v>0</v>
      </c>
      <c r="L20" s="217" t="s">
        <v>875</v>
      </c>
      <c r="M20" s="324">
        <v>0</v>
      </c>
      <c r="N20" s="324">
        <v>0</v>
      </c>
      <c r="O20" s="217" t="s">
        <v>875</v>
      </c>
      <c r="P20" s="217" t="s">
        <v>875</v>
      </c>
      <c r="Q20" s="328">
        <v>52.5</v>
      </c>
      <c r="R20" s="328">
        <v>110</v>
      </c>
      <c r="S20" s="328">
        <v>0.47727272727272729</v>
      </c>
      <c r="T20" s="341" t="s">
        <v>875</v>
      </c>
      <c r="U20" s="341" t="s">
        <v>875</v>
      </c>
      <c r="V20" s="341" t="s">
        <v>875</v>
      </c>
      <c r="W20" s="341" t="s">
        <v>875</v>
      </c>
      <c r="X20" s="341" t="s">
        <v>875</v>
      </c>
      <c r="Y20" s="217" t="s">
        <v>207</v>
      </c>
      <c r="Z20" s="175" t="s">
        <v>219</v>
      </c>
      <c r="AA20" s="170" t="s">
        <v>37</v>
      </c>
      <c r="AB20" s="171">
        <v>45406</v>
      </c>
      <c r="AC20" s="266" t="s">
        <v>191</v>
      </c>
      <c r="AD20" s="168">
        <v>45476</v>
      </c>
      <c r="AE20" s="169" t="s">
        <v>191</v>
      </c>
      <c r="AF20" s="301">
        <v>45546</v>
      </c>
      <c r="AG20" s="302" t="s">
        <v>191</v>
      </c>
      <c r="AH20" s="301">
        <v>45630</v>
      </c>
      <c r="AI20" s="303" t="s">
        <v>191</v>
      </c>
      <c r="AJ20" s="304">
        <v>45707</v>
      </c>
      <c r="AK20" s="254"/>
      <c r="AL20" s="304">
        <v>45805</v>
      </c>
      <c r="AM20" s="254"/>
      <c r="AN20" s="183">
        <v>45904</v>
      </c>
      <c r="AO20" s="254"/>
      <c r="AP20" s="183">
        <v>46036</v>
      </c>
      <c r="AQ20" s="254"/>
      <c r="AR20" s="275"/>
      <c r="AS20" s="271"/>
      <c r="AT20" s="275"/>
      <c r="AU20" s="276"/>
      <c r="AV20" s="338">
        <v>46036</v>
      </c>
      <c r="AW20" t="s">
        <v>460</v>
      </c>
    </row>
    <row r="21" spans="1:49" x14ac:dyDescent="0.35">
      <c r="A21" s="172" t="s">
        <v>208</v>
      </c>
      <c r="B21" s="173" t="s">
        <v>209</v>
      </c>
      <c r="C21" s="201" t="s">
        <v>210</v>
      </c>
      <c r="D21" s="210" t="s">
        <v>211</v>
      </c>
      <c r="E21" s="380" t="s">
        <v>889</v>
      </c>
      <c r="F21" s="214" t="s">
        <v>299</v>
      </c>
      <c r="G21" s="375" t="s">
        <v>875</v>
      </c>
      <c r="H21" s="212" t="s">
        <v>875</v>
      </c>
      <c r="I21" s="315">
        <v>0</v>
      </c>
      <c r="J21" s="315">
        <v>0</v>
      </c>
      <c r="K21" s="315">
        <v>0</v>
      </c>
      <c r="L21" s="217" t="s">
        <v>875</v>
      </c>
      <c r="M21" s="324">
        <v>2</v>
      </c>
      <c r="N21" s="324">
        <v>0</v>
      </c>
      <c r="O21" s="217" t="s">
        <v>875</v>
      </c>
      <c r="P21" s="217" t="s">
        <v>875</v>
      </c>
      <c r="Q21" s="328">
        <v>5</v>
      </c>
      <c r="R21" s="328">
        <v>20</v>
      </c>
      <c r="S21" s="328">
        <v>0.25</v>
      </c>
      <c r="T21" s="341" t="s">
        <v>875</v>
      </c>
      <c r="U21" s="341" t="s">
        <v>875</v>
      </c>
      <c r="V21" s="341" t="s">
        <v>875</v>
      </c>
      <c r="W21" s="341" t="s">
        <v>875</v>
      </c>
      <c r="X21" s="341" t="s">
        <v>875</v>
      </c>
      <c r="Y21" s="217" t="s">
        <v>212</v>
      </c>
      <c r="Z21" s="175" t="s">
        <v>220</v>
      </c>
      <c r="AA21" s="170" t="s">
        <v>37</v>
      </c>
      <c r="AB21" s="171">
        <v>45406</v>
      </c>
      <c r="AC21" s="243" t="s">
        <v>191</v>
      </c>
      <c r="AD21" s="171">
        <v>45511</v>
      </c>
      <c r="AE21" s="170" t="s">
        <v>191</v>
      </c>
      <c r="AF21" s="290">
        <v>45602</v>
      </c>
      <c r="AG21" s="169" t="s">
        <v>293</v>
      </c>
      <c r="AH21" s="238">
        <v>45700</v>
      </c>
      <c r="AI21" s="254"/>
      <c r="AJ21" s="200">
        <v>45791</v>
      </c>
      <c r="AK21" s="254"/>
      <c r="AL21" s="171">
        <v>45883</v>
      </c>
      <c r="AM21" s="254"/>
      <c r="AN21" s="171">
        <v>45987</v>
      </c>
      <c r="AO21" s="254"/>
      <c r="AP21" s="306">
        <v>46106</v>
      </c>
      <c r="AQ21" s="283"/>
      <c r="AR21" s="275"/>
      <c r="AS21" s="271"/>
      <c r="AT21" s="275"/>
      <c r="AU21" s="276"/>
      <c r="AV21" s="306">
        <v>46106</v>
      </c>
      <c r="AW21" t="s">
        <v>460</v>
      </c>
    </row>
    <row r="22" spans="1:49" ht="15" thickBot="1" x14ac:dyDescent="0.4">
      <c r="A22" s="172" t="s">
        <v>223</v>
      </c>
      <c r="B22" s="173" t="s">
        <v>226</v>
      </c>
      <c r="C22" s="174" t="s">
        <v>222</v>
      </c>
      <c r="D22" s="210" t="s">
        <v>214</v>
      </c>
      <c r="E22" s="380"/>
      <c r="F22" s="213" t="s">
        <v>298</v>
      </c>
      <c r="G22" s="212" t="s">
        <v>883</v>
      </c>
      <c r="H22" s="212" t="s">
        <v>816</v>
      </c>
      <c r="I22" s="315">
        <v>11102</v>
      </c>
      <c r="J22" s="315">
        <v>0</v>
      </c>
      <c r="K22" s="315">
        <v>0</v>
      </c>
      <c r="L22" s="217" t="s">
        <v>422</v>
      </c>
      <c r="M22" s="324">
        <v>4</v>
      </c>
      <c r="N22" s="324">
        <v>0</v>
      </c>
      <c r="O22" s="324">
        <v>0</v>
      </c>
      <c r="P22" s="324">
        <v>0</v>
      </c>
      <c r="Q22" s="328">
        <v>288</v>
      </c>
      <c r="R22" s="328">
        <v>155</v>
      </c>
      <c r="S22" s="328">
        <v>1.8580645161290323</v>
      </c>
      <c r="T22" s="342">
        <v>215</v>
      </c>
      <c r="U22" s="343">
        <v>10</v>
      </c>
      <c r="V22" s="328" t="s">
        <v>474</v>
      </c>
      <c r="W22" s="328" t="s">
        <v>475</v>
      </c>
      <c r="X22" s="328" t="s">
        <v>476</v>
      </c>
      <c r="Y22" s="217" t="s">
        <v>228</v>
      </c>
      <c r="Z22" s="171" t="s">
        <v>227</v>
      </c>
      <c r="AA22" s="170" t="s">
        <v>37</v>
      </c>
      <c r="AB22" s="171">
        <v>45446</v>
      </c>
      <c r="AC22" s="243" t="s">
        <v>111</v>
      </c>
      <c r="AD22" s="220">
        <v>45523</v>
      </c>
      <c r="AE22" s="169" t="s">
        <v>293</v>
      </c>
      <c r="AF22" s="238">
        <v>45576</v>
      </c>
      <c r="AG22" s="169" t="s">
        <v>293</v>
      </c>
      <c r="AH22" s="238">
        <v>45635</v>
      </c>
      <c r="AI22" s="266" t="s">
        <v>293</v>
      </c>
      <c r="AJ22" s="200">
        <v>45698</v>
      </c>
      <c r="AK22" s="254"/>
      <c r="AL22" s="200">
        <v>45744</v>
      </c>
      <c r="AM22" s="254"/>
      <c r="AN22" s="171">
        <v>45807</v>
      </c>
      <c r="AO22" s="254"/>
      <c r="AP22" s="279">
        <v>45845</v>
      </c>
      <c r="AQ22" s="245" t="s">
        <v>289</v>
      </c>
      <c r="AR22" s="457"/>
      <c r="AS22" s="458"/>
      <c r="AT22" s="459"/>
      <c r="AU22" s="460"/>
      <c r="AV22" s="338">
        <v>45928</v>
      </c>
      <c r="AW22" t="s">
        <v>461</v>
      </c>
    </row>
    <row r="23" spans="1:49" x14ac:dyDescent="0.35">
      <c r="A23" s="172" t="s">
        <v>215</v>
      </c>
      <c r="B23" s="173" t="s">
        <v>216</v>
      </c>
      <c r="C23" s="201" t="s">
        <v>217</v>
      </c>
      <c r="D23" s="210" t="s">
        <v>224</v>
      </c>
      <c r="E23" s="380" t="s">
        <v>889</v>
      </c>
      <c r="F23" s="214" t="s">
        <v>299</v>
      </c>
      <c r="G23" s="375" t="s">
        <v>37</v>
      </c>
      <c r="H23" s="212" t="s">
        <v>37</v>
      </c>
      <c r="I23" s="315">
        <v>28.1</v>
      </c>
      <c r="J23" s="315">
        <v>0</v>
      </c>
      <c r="K23" s="315">
        <v>0</v>
      </c>
      <c r="L23" s="217" t="s">
        <v>876</v>
      </c>
      <c r="M23" s="324">
        <v>0</v>
      </c>
      <c r="N23" s="324">
        <v>0</v>
      </c>
      <c r="O23" s="217" t="s">
        <v>37</v>
      </c>
      <c r="P23" s="217" t="s">
        <v>37</v>
      </c>
      <c r="Q23" s="328">
        <v>277.5</v>
      </c>
      <c r="R23" s="328">
        <v>50</v>
      </c>
      <c r="S23" s="328">
        <v>5.55</v>
      </c>
      <c r="T23" s="341" t="s">
        <v>37</v>
      </c>
      <c r="U23" s="341" t="s">
        <v>37</v>
      </c>
      <c r="V23" s="328" t="s">
        <v>477</v>
      </c>
      <c r="W23" s="328" t="s">
        <v>467</v>
      </c>
      <c r="X23" s="328"/>
      <c r="Y23" s="217" t="s">
        <v>225</v>
      </c>
      <c r="Z23" s="175" t="s">
        <v>221</v>
      </c>
      <c r="AA23" s="170" t="s">
        <v>37</v>
      </c>
      <c r="AB23" s="171">
        <v>45428</v>
      </c>
      <c r="AC23" s="266" t="s">
        <v>293</v>
      </c>
      <c r="AD23" s="220">
        <v>45498</v>
      </c>
      <c r="AE23" s="169" t="s">
        <v>293</v>
      </c>
      <c r="AF23" s="238">
        <v>45567</v>
      </c>
      <c r="AG23" s="169" t="s">
        <v>293</v>
      </c>
      <c r="AH23" s="238">
        <v>45638</v>
      </c>
      <c r="AI23" s="254"/>
      <c r="AJ23" s="200">
        <v>45722</v>
      </c>
      <c r="AK23" s="254"/>
      <c r="AL23" s="171">
        <v>45812</v>
      </c>
      <c r="AM23" s="254"/>
      <c r="AN23" s="171">
        <v>45889</v>
      </c>
      <c r="AO23" s="254"/>
      <c r="AP23" s="195">
        <v>46146</v>
      </c>
      <c r="AQ23" s="245" t="s">
        <v>289</v>
      </c>
      <c r="AR23" s="171"/>
      <c r="AS23" s="254"/>
      <c r="AT23" s="275"/>
      <c r="AU23" s="276"/>
      <c r="AV23" s="338">
        <v>46146</v>
      </c>
      <c r="AW23" t="s">
        <v>460</v>
      </c>
    </row>
    <row r="24" spans="1:49" x14ac:dyDescent="0.35">
      <c r="A24" s="172" t="s">
        <v>229</v>
      </c>
      <c r="B24" s="173" t="s">
        <v>230</v>
      </c>
      <c r="C24" s="174" t="s">
        <v>231</v>
      </c>
      <c r="D24" s="210" t="s">
        <v>232</v>
      </c>
      <c r="E24" s="380"/>
      <c r="F24" s="213" t="s">
        <v>297</v>
      </c>
      <c r="G24" s="212" t="s">
        <v>875</v>
      </c>
      <c r="H24" s="212" t="s">
        <v>875</v>
      </c>
      <c r="I24" s="217" t="s">
        <v>401</v>
      </c>
      <c r="J24" s="315">
        <v>0</v>
      </c>
      <c r="K24" s="315">
        <v>0</v>
      </c>
      <c r="L24" s="217" t="s">
        <v>875</v>
      </c>
      <c r="M24" s="324">
        <v>6</v>
      </c>
      <c r="N24" s="324">
        <v>0</v>
      </c>
      <c r="O24" s="217" t="s">
        <v>875</v>
      </c>
      <c r="P24" s="217" t="s">
        <v>875</v>
      </c>
      <c r="Q24" s="328">
        <v>240</v>
      </c>
      <c r="R24" s="328">
        <v>175</v>
      </c>
      <c r="S24" s="328">
        <v>1.3714285714285714</v>
      </c>
      <c r="T24" s="341" t="s">
        <v>875</v>
      </c>
      <c r="U24" s="341" t="s">
        <v>875</v>
      </c>
      <c r="V24" s="341" t="s">
        <v>875</v>
      </c>
      <c r="W24" s="341" t="s">
        <v>875</v>
      </c>
      <c r="X24" s="341" t="s">
        <v>875</v>
      </c>
      <c r="Y24" s="217" t="s">
        <v>220</v>
      </c>
      <c r="Z24" s="175" t="s">
        <v>233</v>
      </c>
      <c r="AA24" s="170" t="s">
        <v>37</v>
      </c>
      <c r="AB24" s="171">
        <v>45455</v>
      </c>
      <c r="AC24" s="266" t="s">
        <v>293</v>
      </c>
      <c r="AD24" s="220">
        <v>45546</v>
      </c>
      <c r="AE24" s="169" t="s">
        <v>293</v>
      </c>
      <c r="AF24" s="238">
        <v>45638</v>
      </c>
      <c r="AG24" s="247"/>
      <c r="AH24" s="238">
        <v>45721</v>
      </c>
      <c r="AI24" s="254"/>
      <c r="AJ24" s="171">
        <v>45931</v>
      </c>
      <c r="AK24" s="254"/>
      <c r="AL24" s="171">
        <v>46036</v>
      </c>
      <c r="AM24" s="254"/>
      <c r="AN24" s="284"/>
      <c r="AO24" s="286"/>
      <c r="AP24" s="284"/>
      <c r="AQ24" s="286"/>
      <c r="AR24" s="284"/>
      <c r="AS24" s="286"/>
      <c r="AT24" s="275"/>
      <c r="AU24" s="276"/>
      <c r="AV24" s="338">
        <v>46036</v>
      </c>
      <c r="AW24" t="s">
        <v>460</v>
      </c>
    </row>
    <row r="25" spans="1:49" x14ac:dyDescent="0.35">
      <c r="A25" s="172" t="s">
        <v>236</v>
      </c>
      <c r="B25" s="173" t="s">
        <v>237</v>
      </c>
      <c r="C25" s="174" t="s">
        <v>238</v>
      </c>
      <c r="D25" s="210" t="s">
        <v>234</v>
      </c>
      <c r="E25" s="380"/>
      <c r="F25" s="213" t="s">
        <v>297</v>
      </c>
      <c r="G25" s="212" t="s">
        <v>883</v>
      </c>
      <c r="H25" s="212" t="s">
        <v>874</v>
      </c>
      <c r="I25" s="315">
        <v>2985.9</v>
      </c>
      <c r="J25" s="217" t="s">
        <v>411</v>
      </c>
      <c r="K25" s="315">
        <v>15</v>
      </c>
      <c r="L25" s="217" t="s">
        <v>423</v>
      </c>
      <c r="M25" s="324">
        <v>2</v>
      </c>
      <c r="N25" s="324">
        <v>1</v>
      </c>
      <c r="O25" s="324">
        <v>0</v>
      </c>
      <c r="P25" s="324">
        <v>0</v>
      </c>
      <c r="Q25" s="328">
        <v>287.5</v>
      </c>
      <c r="R25" s="328">
        <v>200</v>
      </c>
      <c r="S25" s="328">
        <v>1.4375</v>
      </c>
      <c r="T25" s="341">
        <v>257.5</v>
      </c>
      <c r="U25" s="341">
        <v>190</v>
      </c>
      <c r="V25" s="328" t="s">
        <v>478</v>
      </c>
      <c r="W25" s="328" t="s">
        <v>479</v>
      </c>
      <c r="X25" s="328" t="s">
        <v>480</v>
      </c>
      <c r="Y25" s="217" t="s">
        <v>233</v>
      </c>
      <c r="Z25" s="175" t="s">
        <v>239</v>
      </c>
      <c r="AA25" s="170" t="s">
        <v>37</v>
      </c>
      <c r="AB25" s="171">
        <v>45481</v>
      </c>
      <c r="AC25" s="266" t="s">
        <v>293</v>
      </c>
      <c r="AD25" s="200">
        <v>45540</v>
      </c>
      <c r="AE25" s="169" t="s">
        <v>293</v>
      </c>
      <c r="AF25" s="278">
        <v>45637</v>
      </c>
      <c r="AG25" s="196" t="s">
        <v>289</v>
      </c>
      <c r="AH25" s="461"/>
      <c r="AI25" s="462"/>
      <c r="AJ25" s="462"/>
      <c r="AK25" s="462"/>
      <c r="AL25" s="462"/>
      <c r="AM25" s="462"/>
      <c r="AN25" s="463"/>
      <c r="AO25" s="463"/>
      <c r="AP25" s="463"/>
      <c r="AQ25" s="463"/>
      <c r="AR25" s="463"/>
      <c r="AS25" s="463"/>
      <c r="AT25" s="463"/>
      <c r="AU25" s="463"/>
      <c r="AV25" s="338">
        <v>46108</v>
      </c>
      <c r="AW25" t="s">
        <v>461</v>
      </c>
    </row>
    <row r="26" spans="1:49" x14ac:dyDescent="0.35">
      <c r="A26" s="172" t="s">
        <v>250</v>
      </c>
      <c r="B26" s="173" t="s">
        <v>251</v>
      </c>
      <c r="C26" s="174" t="s">
        <v>252</v>
      </c>
      <c r="D26" s="210" t="s">
        <v>253</v>
      </c>
      <c r="E26" s="380"/>
      <c r="F26" s="213" t="s">
        <v>298</v>
      </c>
      <c r="G26" s="212" t="s">
        <v>883</v>
      </c>
      <c r="H26" s="212" t="s">
        <v>37</v>
      </c>
      <c r="I26" s="217" t="s">
        <v>402</v>
      </c>
      <c r="J26" s="217" t="s">
        <v>412</v>
      </c>
      <c r="K26" s="315">
        <v>0</v>
      </c>
      <c r="L26" s="217" t="s">
        <v>440</v>
      </c>
      <c r="M26" s="324">
        <v>2</v>
      </c>
      <c r="N26" s="324">
        <v>0</v>
      </c>
      <c r="O26" s="217" t="s">
        <v>506</v>
      </c>
      <c r="P26" s="217" t="s">
        <v>409</v>
      </c>
      <c r="Q26" s="328" t="s">
        <v>37</v>
      </c>
      <c r="R26" s="328" t="s">
        <v>37</v>
      </c>
      <c r="S26" s="328" t="s">
        <v>37</v>
      </c>
      <c r="T26" s="341" t="s">
        <v>37</v>
      </c>
      <c r="U26" s="341" t="s">
        <v>37</v>
      </c>
      <c r="V26" s="328" t="s">
        <v>481</v>
      </c>
      <c r="W26" s="328" t="s">
        <v>467</v>
      </c>
      <c r="X26" s="328"/>
      <c r="Y26" s="217" t="s">
        <v>239</v>
      </c>
      <c r="Z26" s="175" t="s">
        <v>254</v>
      </c>
      <c r="AA26" s="170" t="s">
        <v>37</v>
      </c>
      <c r="AB26" s="220">
        <v>45530</v>
      </c>
      <c r="AC26" s="266" t="s">
        <v>191</v>
      </c>
      <c r="AD26" s="200">
        <v>45596</v>
      </c>
      <c r="AE26" s="169" t="s">
        <v>293</v>
      </c>
      <c r="AF26" s="238">
        <v>45321</v>
      </c>
      <c r="AG26" s="247"/>
      <c r="AH26" s="238">
        <v>45799</v>
      </c>
      <c r="AI26" s="254"/>
      <c r="AJ26" s="171">
        <v>45897</v>
      </c>
      <c r="AK26" s="254"/>
      <c r="AL26" s="171">
        <v>45988</v>
      </c>
      <c r="AM26" s="254"/>
      <c r="AN26" s="195">
        <v>45992</v>
      </c>
      <c r="AO26" s="245" t="s">
        <v>289</v>
      </c>
      <c r="AP26" s="284"/>
      <c r="AQ26" s="286"/>
      <c r="AR26" s="284"/>
      <c r="AS26" s="286"/>
      <c r="AT26" s="284"/>
      <c r="AU26" s="285"/>
      <c r="AV26" s="338">
        <v>46113</v>
      </c>
      <c r="AW26" t="s">
        <v>460</v>
      </c>
    </row>
    <row r="27" spans="1:49" ht="15" thickBot="1" x14ac:dyDescent="0.4">
      <c r="A27" s="172" t="s">
        <v>247</v>
      </c>
      <c r="B27" s="173" t="s">
        <v>248</v>
      </c>
      <c r="C27" s="201" t="s">
        <v>249</v>
      </c>
      <c r="D27" s="210" t="s">
        <v>255</v>
      </c>
      <c r="E27" s="380"/>
      <c r="F27" s="213" t="s">
        <v>297</v>
      </c>
      <c r="G27" s="212" t="s">
        <v>883</v>
      </c>
      <c r="H27" s="212" t="s">
        <v>37</v>
      </c>
      <c r="I27" s="217" t="s">
        <v>403</v>
      </c>
      <c r="J27" s="217" t="s">
        <v>413</v>
      </c>
      <c r="K27" s="217" t="s">
        <v>416</v>
      </c>
      <c r="L27" s="217" t="s">
        <v>37</v>
      </c>
      <c r="M27" s="324">
        <v>1</v>
      </c>
      <c r="N27" s="324">
        <v>0</v>
      </c>
      <c r="O27" s="217" t="s">
        <v>409</v>
      </c>
      <c r="P27" s="217" t="s">
        <v>409</v>
      </c>
      <c r="Q27" s="328">
        <v>187.5</v>
      </c>
      <c r="R27" s="328">
        <v>35</v>
      </c>
      <c r="S27" s="328">
        <v>5.3571428571428568</v>
      </c>
      <c r="T27" s="342">
        <v>87.5</v>
      </c>
      <c r="U27" s="343">
        <v>10</v>
      </c>
      <c r="V27" s="328" t="s">
        <v>482</v>
      </c>
      <c r="W27" s="328" t="s">
        <v>462</v>
      </c>
      <c r="X27" s="328"/>
      <c r="Y27" s="217" t="s">
        <v>257</v>
      </c>
      <c r="Z27" s="175" t="s">
        <v>256</v>
      </c>
      <c r="AA27" s="170" t="s">
        <v>37</v>
      </c>
      <c r="AB27" s="220">
        <v>45532</v>
      </c>
      <c r="AC27" s="266" t="s">
        <v>316</v>
      </c>
      <c r="AD27" s="200">
        <v>45623</v>
      </c>
      <c r="AE27" s="169" t="s">
        <v>293</v>
      </c>
      <c r="AF27" s="238">
        <v>45721</v>
      </c>
      <c r="AG27" s="247"/>
      <c r="AH27" s="190">
        <v>45812</v>
      </c>
      <c r="AI27" s="254"/>
      <c r="AJ27" s="171">
        <v>45903</v>
      </c>
      <c r="AK27" s="254"/>
      <c r="AL27" s="197">
        <v>46001</v>
      </c>
      <c r="AM27" s="245" t="s">
        <v>289</v>
      </c>
      <c r="AN27" s="444"/>
      <c r="AO27" s="444"/>
      <c r="AP27" s="444"/>
      <c r="AQ27" s="444"/>
      <c r="AR27" s="444"/>
      <c r="AS27" s="444"/>
      <c r="AT27" s="444"/>
      <c r="AU27" s="447"/>
      <c r="AV27" s="338">
        <v>46105</v>
      </c>
      <c r="AW27" t="s">
        <v>460</v>
      </c>
    </row>
    <row r="28" spans="1:49" ht="15" thickBot="1" x14ac:dyDescent="0.4">
      <c r="A28" s="172" t="s">
        <v>259</v>
      </c>
      <c r="B28" s="173" t="s">
        <v>143</v>
      </c>
      <c r="C28" s="174" t="s">
        <v>258</v>
      </c>
      <c r="D28" s="210" t="s">
        <v>260</v>
      </c>
      <c r="E28" s="380"/>
      <c r="F28" s="213" t="s">
        <v>297</v>
      </c>
      <c r="G28" s="212" t="s">
        <v>883</v>
      </c>
      <c r="H28" s="212" t="s">
        <v>877</v>
      </c>
      <c r="I28" s="217" t="s">
        <v>404</v>
      </c>
      <c r="J28" s="217" t="s">
        <v>414</v>
      </c>
      <c r="K28" s="315">
        <v>0</v>
      </c>
      <c r="L28" s="217" t="s">
        <v>424</v>
      </c>
      <c r="M28" s="324">
        <v>3</v>
      </c>
      <c r="N28" s="324">
        <v>0</v>
      </c>
      <c r="O28" s="324">
        <v>0</v>
      </c>
      <c r="P28" s="324">
        <v>0</v>
      </c>
      <c r="Q28" s="328">
        <v>147.5</v>
      </c>
      <c r="R28" s="328">
        <v>110</v>
      </c>
      <c r="S28" s="328">
        <v>1.3409090909090908</v>
      </c>
      <c r="T28" s="342">
        <v>115</v>
      </c>
      <c r="U28" s="343">
        <v>7.5</v>
      </c>
      <c r="V28" s="328" t="s">
        <v>483</v>
      </c>
      <c r="W28" s="328" t="s">
        <v>462</v>
      </c>
      <c r="X28" s="328" t="s">
        <v>484</v>
      </c>
      <c r="Y28" s="217" t="s">
        <v>261</v>
      </c>
      <c r="Z28" s="175" t="s">
        <v>280</v>
      </c>
      <c r="AA28" s="170" t="s">
        <v>37</v>
      </c>
      <c r="AB28" s="220">
        <v>45530</v>
      </c>
      <c r="AC28" s="266" t="s">
        <v>316</v>
      </c>
      <c r="AD28" s="200">
        <v>45590</v>
      </c>
      <c r="AE28" s="169" t="s">
        <v>293</v>
      </c>
      <c r="AF28" s="278">
        <v>45646</v>
      </c>
      <c r="AG28" s="196" t="s">
        <v>289</v>
      </c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338">
        <v>45761</v>
      </c>
      <c r="AW28" t="s">
        <v>461</v>
      </c>
    </row>
    <row r="29" spans="1:49" ht="15" thickBot="1" x14ac:dyDescent="0.4">
      <c r="A29" s="172" t="s">
        <v>244</v>
      </c>
      <c r="B29" s="173" t="s">
        <v>245</v>
      </c>
      <c r="C29" s="201" t="s">
        <v>243</v>
      </c>
      <c r="D29" s="210" t="s">
        <v>262</v>
      </c>
      <c r="E29" s="380" t="s">
        <v>887</v>
      </c>
      <c r="F29" s="214" t="s">
        <v>299</v>
      </c>
      <c r="G29" s="212" t="s">
        <v>882</v>
      </c>
      <c r="H29" s="212" t="s">
        <v>873</v>
      </c>
      <c r="I29" s="315">
        <v>161.30000000000001</v>
      </c>
      <c r="J29" s="315">
        <v>0</v>
      </c>
      <c r="K29" s="315">
        <v>0</v>
      </c>
      <c r="L29" s="315">
        <v>62</v>
      </c>
      <c r="M29" s="324">
        <v>0</v>
      </c>
      <c r="N29" s="324">
        <v>0</v>
      </c>
      <c r="O29" s="324">
        <v>0</v>
      </c>
      <c r="P29" s="324">
        <v>0</v>
      </c>
      <c r="Q29" s="328">
        <v>285</v>
      </c>
      <c r="R29" s="328">
        <v>125</v>
      </c>
      <c r="S29" s="328">
        <v>2.2799999999999998</v>
      </c>
      <c r="T29" s="342">
        <v>255</v>
      </c>
      <c r="U29" s="343">
        <v>10</v>
      </c>
      <c r="V29" s="328" t="s">
        <v>409</v>
      </c>
      <c r="W29" s="328" t="s">
        <v>409</v>
      </c>
      <c r="X29" s="328" t="s">
        <v>409</v>
      </c>
      <c r="Y29" s="217" t="s">
        <v>235</v>
      </c>
      <c r="Z29" s="175" t="s">
        <v>264</v>
      </c>
      <c r="AA29" s="170" t="s">
        <v>37</v>
      </c>
      <c r="AB29" s="223">
        <v>45540</v>
      </c>
      <c r="AC29" s="266" t="s">
        <v>191</v>
      </c>
      <c r="AD29" s="171">
        <v>45630</v>
      </c>
      <c r="AE29" s="169" t="s">
        <v>191</v>
      </c>
      <c r="AF29" s="278">
        <v>45755</v>
      </c>
      <c r="AG29" s="196" t="s">
        <v>289</v>
      </c>
      <c r="AH29" s="449"/>
      <c r="AI29" s="450"/>
      <c r="AJ29" s="450"/>
      <c r="AK29" s="450"/>
      <c r="AL29" s="450"/>
      <c r="AM29" s="450"/>
      <c r="AN29" s="450"/>
      <c r="AO29" s="450"/>
      <c r="AP29" s="450"/>
      <c r="AQ29" s="450"/>
      <c r="AR29" s="450"/>
      <c r="AS29" s="450"/>
      <c r="AT29" s="450"/>
      <c r="AU29" s="451"/>
      <c r="AV29" s="338">
        <v>45870</v>
      </c>
      <c r="AW29" t="s">
        <v>461</v>
      </c>
    </row>
    <row r="30" spans="1:49" x14ac:dyDescent="0.35">
      <c r="A30" s="172" t="s">
        <v>240</v>
      </c>
      <c r="B30" s="173" t="s">
        <v>241</v>
      </c>
      <c r="C30" s="174" t="s">
        <v>242</v>
      </c>
      <c r="D30" s="210" t="s">
        <v>263</v>
      </c>
      <c r="E30" s="380"/>
      <c r="F30" s="213" t="s">
        <v>298</v>
      </c>
      <c r="G30" s="212" t="s">
        <v>875</v>
      </c>
      <c r="H30" s="212" t="s">
        <v>875</v>
      </c>
      <c r="I30" s="217" t="s">
        <v>405</v>
      </c>
      <c r="J30" s="315">
        <v>0</v>
      </c>
      <c r="K30" s="315">
        <v>0</v>
      </c>
      <c r="L30" s="217" t="s">
        <v>409</v>
      </c>
      <c r="M30" s="324">
        <v>0</v>
      </c>
      <c r="N30" s="324">
        <v>0</v>
      </c>
      <c r="O30" s="217" t="s">
        <v>409</v>
      </c>
      <c r="P30" s="217" t="s">
        <v>409</v>
      </c>
      <c r="Q30" s="328">
        <v>280</v>
      </c>
      <c r="R30" s="328">
        <v>175</v>
      </c>
      <c r="S30" s="328">
        <v>1.6</v>
      </c>
      <c r="T30" s="341" t="s">
        <v>37</v>
      </c>
      <c r="U30" s="341" t="s">
        <v>37</v>
      </c>
      <c r="V30" s="328" t="s">
        <v>485</v>
      </c>
      <c r="W30" s="328" t="s">
        <v>467</v>
      </c>
      <c r="X30" s="328"/>
      <c r="Y30" s="217" t="s">
        <v>235</v>
      </c>
      <c r="Z30" s="175" t="s">
        <v>265</v>
      </c>
      <c r="AA30" s="170" t="s">
        <v>37</v>
      </c>
      <c r="AB30" s="220">
        <v>45532</v>
      </c>
      <c r="AC30" s="266" t="s">
        <v>191</v>
      </c>
      <c r="AD30" s="221">
        <v>45623</v>
      </c>
      <c r="AE30" s="169" t="s">
        <v>293</v>
      </c>
      <c r="AF30" s="238">
        <v>45714</v>
      </c>
      <c r="AG30" s="247"/>
      <c r="AH30" s="277">
        <v>45805</v>
      </c>
      <c r="AI30" s="254"/>
      <c r="AJ30" s="183">
        <v>45896</v>
      </c>
      <c r="AK30" s="254"/>
      <c r="AL30" s="183">
        <v>45972</v>
      </c>
      <c r="AM30" s="254"/>
      <c r="AN30" s="195">
        <v>45699</v>
      </c>
      <c r="AO30" s="245" t="s">
        <v>289</v>
      </c>
      <c r="AP30" s="275"/>
      <c r="AQ30" s="271"/>
      <c r="AR30" s="275"/>
      <c r="AS30" s="271"/>
      <c r="AT30" s="275"/>
      <c r="AU30" s="276"/>
      <c r="AV30" s="338">
        <v>46111</v>
      </c>
      <c r="AW30" t="s">
        <v>460</v>
      </c>
    </row>
    <row r="31" spans="1:49" x14ac:dyDescent="0.35">
      <c r="A31" s="172" t="s">
        <v>266</v>
      </c>
      <c r="B31" s="173" t="s">
        <v>246</v>
      </c>
      <c r="C31" s="174" t="s">
        <v>267</v>
      </c>
      <c r="D31" s="210" t="s">
        <v>268</v>
      </c>
      <c r="E31" s="380"/>
      <c r="F31" s="213" t="s">
        <v>297</v>
      </c>
      <c r="G31" s="212" t="s">
        <v>883</v>
      </c>
      <c r="H31" s="212" t="s">
        <v>816</v>
      </c>
      <c r="I31" s="217" t="s">
        <v>406</v>
      </c>
      <c r="J31" s="315">
        <v>0</v>
      </c>
      <c r="K31" s="315">
        <v>0</v>
      </c>
      <c r="L31" s="217" t="s">
        <v>409</v>
      </c>
      <c r="M31" s="324">
        <v>0</v>
      </c>
      <c r="N31" s="324">
        <v>0</v>
      </c>
      <c r="O31" s="217" t="s">
        <v>37</v>
      </c>
      <c r="P31" s="217" t="s">
        <v>37</v>
      </c>
      <c r="Q31" s="328">
        <v>290</v>
      </c>
      <c r="R31" s="328">
        <v>200</v>
      </c>
      <c r="S31" s="328">
        <v>1.45</v>
      </c>
      <c r="T31" s="341" t="s">
        <v>37</v>
      </c>
      <c r="U31" s="341" t="s">
        <v>37</v>
      </c>
      <c r="V31" s="328" t="s">
        <v>486</v>
      </c>
      <c r="W31" s="328" t="s">
        <v>487</v>
      </c>
      <c r="X31" s="328"/>
      <c r="Y31" s="217" t="s">
        <v>269</v>
      </c>
      <c r="Z31" s="175" t="s">
        <v>281</v>
      </c>
      <c r="AA31" s="170" t="s">
        <v>37</v>
      </c>
      <c r="AB31" s="220">
        <v>45540</v>
      </c>
      <c r="AC31" s="266" t="s">
        <v>191</v>
      </c>
      <c r="AD31" s="171">
        <v>45631</v>
      </c>
      <c r="AE31" s="169" t="s">
        <v>293</v>
      </c>
      <c r="AF31" s="238">
        <v>45728</v>
      </c>
      <c r="AG31" s="247"/>
      <c r="AH31" s="190">
        <v>45819</v>
      </c>
      <c r="AI31" s="254"/>
      <c r="AJ31" s="171">
        <v>45916</v>
      </c>
      <c r="AK31" s="254"/>
      <c r="AL31" s="334">
        <v>46030</v>
      </c>
      <c r="AM31" s="245" t="s">
        <v>289</v>
      </c>
      <c r="AN31" s="275"/>
      <c r="AO31" s="271"/>
      <c r="AP31" s="275"/>
      <c r="AQ31" s="271"/>
      <c r="AR31" s="275"/>
      <c r="AS31" s="271"/>
      <c r="AT31" s="275"/>
      <c r="AU31" s="276"/>
      <c r="AV31" s="338">
        <v>46043</v>
      </c>
      <c r="AW31" t="s">
        <v>460</v>
      </c>
    </row>
    <row r="32" spans="1:49" x14ac:dyDescent="0.35">
      <c r="A32" s="172" t="s">
        <v>275</v>
      </c>
      <c r="B32" s="173" t="s">
        <v>276</v>
      </c>
      <c r="C32" s="174" t="s">
        <v>277</v>
      </c>
      <c r="D32" s="210" t="s">
        <v>279</v>
      </c>
      <c r="E32" s="380"/>
      <c r="F32" s="213" t="s">
        <v>297</v>
      </c>
      <c r="G32" s="212" t="s">
        <v>875</v>
      </c>
      <c r="H32" s="212" t="s">
        <v>875</v>
      </c>
      <c r="I32" s="217" t="s">
        <v>407</v>
      </c>
      <c r="J32" s="315">
        <v>0</v>
      </c>
      <c r="K32" s="315">
        <v>0</v>
      </c>
      <c r="L32" s="217" t="s">
        <v>875</v>
      </c>
      <c r="M32" s="324">
        <v>0</v>
      </c>
      <c r="N32" s="324">
        <v>0</v>
      </c>
      <c r="O32" s="217" t="s">
        <v>875</v>
      </c>
      <c r="P32" s="217" t="s">
        <v>875</v>
      </c>
      <c r="Q32" s="328" t="s">
        <v>37</v>
      </c>
      <c r="R32" s="328" t="s">
        <v>37</v>
      </c>
      <c r="S32" s="328" t="s">
        <v>37</v>
      </c>
      <c r="T32" s="341" t="s">
        <v>875</v>
      </c>
      <c r="U32" s="341" t="s">
        <v>875</v>
      </c>
      <c r="V32" s="341" t="s">
        <v>875</v>
      </c>
      <c r="W32" s="341" t="s">
        <v>875</v>
      </c>
      <c r="X32" s="341" t="s">
        <v>875</v>
      </c>
      <c r="Y32" s="217" t="s">
        <v>265</v>
      </c>
      <c r="Z32" s="222" t="s">
        <v>282</v>
      </c>
      <c r="AA32" s="170" t="s">
        <v>37</v>
      </c>
      <c r="AB32" s="220">
        <v>45567</v>
      </c>
      <c r="AC32" s="266" t="s">
        <v>293</v>
      </c>
      <c r="AD32" s="200">
        <v>45665</v>
      </c>
      <c r="AE32" s="169" t="s">
        <v>293</v>
      </c>
      <c r="AF32" s="238">
        <v>45756</v>
      </c>
      <c r="AG32" s="247"/>
      <c r="AH32" s="190">
        <v>45931</v>
      </c>
      <c r="AI32" s="254"/>
      <c r="AJ32" s="272"/>
      <c r="AK32" s="273"/>
      <c r="AL32" s="272"/>
      <c r="AM32" s="273"/>
      <c r="AN32" s="312"/>
      <c r="AO32" s="310"/>
      <c r="AP32" s="312"/>
      <c r="AQ32" s="310"/>
      <c r="AR32" s="312"/>
      <c r="AS32" s="310"/>
      <c r="AT32" s="312"/>
      <c r="AU32" s="313"/>
      <c r="AV32" s="338">
        <v>46065</v>
      </c>
      <c r="AW32" t="s">
        <v>460</v>
      </c>
    </row>
    <row r="33" spans="1:110" x14ac:dyDescent="0.35">
      <c r="A33" s="172" t="s">
        <v>272</v>
      </c>
      <c r="B33" s="173" t="s">
        <v>273</v>
      </c>
      <c r="C33" s="201" t="s">
        <v>274</v>
      </c>
      <c r="D33" s="210" t="s">
        <v>278</v>
      </c>
      <c r="E33" s="380" t="s">
        <v>889</v>
      </c>
      <c r="F33" s="214" t="s">
        <v>299</v>
      </c>
      <c r="G33" s="212" t="s">
        <v>883</v>
      </c>
      <c r="H33" s="212" t="s">
        <v>37</v>
      </c>
      <c r="I33" s="315">
        <v>585.70000000000005</v>
      </c>
      <c r="J33" s="315">
        <v>276.39999999999998</v>
      </c>
      <c r="K33" s="217" t="s">
        <v>37</v>
      </c>
      <c r="L33" s="315">
        <v>108.9</v>
      </c>
      <c r="M33" s="324">
        <v>0</v>
      </c>
      <c r="N33" s="324">
        <v>0</v>
      </c>
      <c r="O33" s="324">
        <v>0</v>
      </c>
      <c r="P33" s="324">
        <v>0</v>
      </c>
      <c r="Q33" s="328">
        <v>293.5</v>
      </c>
      <c r="R33" s="328">
        <v>200</v>
      </c>
      <c r="S33" s="328">
        <v>1.4675</v>
      </c>
      <c r="T33" s="341" t="s">
        <v>37</v>
      </c>
      <c r="U33" s="341" t="s">
        <v>37</v>
      </c>
      <c r="V33" s="328" t="s">
        <v>488</v>
      </c>
      <c r="W33" s="328" t="s">
        <v>490</v>
      </c>
      <c r="X33" s="328" t="s">
        <v>492</v>
      </c>
      <c r="Y33" s="217" t="s">
        <v>265</v>
      </c>
      <c r="Z33" s="222" t="s">
        <v>283</v>
      </c>
      <c r="AA33" s="170" t="s">
        <v>37</v>
      </c>
      <c r="AB33" s="195">
        <v>45560</v>
      </c>
      <c r="AC33" s="245" t="s">
        <v>289</v>
      </c>
      <c r="AD33" s="452"/>
      <c r="AE33" s="452"/>
      <c r="AF33" s="452"/>
      <c r="AG33" s="452"/>
      <c r="AH33" s="452"/>
      <c r="AI33" s="452"/>
      <c r="AJ33" s="452"/>
      <c r="AK33" s="452"/>
      <c r="AL33" s="452"/>
      <c r="AM33" s="452"/>
      <c r="AN33" s="453"/>
      <c r="AO33" s="453"/>
      <c r="AP33" s="453"/>
      <c r="AQ33" s="453"/>
      <c r="AR33" s="453"/>
      <c r="AS33" s="453"/>
      <c r="AT33" s="453"/>
      <c r="AU33" s="453"/>
      <c r="AV33" s="338">
        <v>45792</v>
      </c>
      <c r="AW33" t="s">
        <v>461</v>
      </c>
    </row>
    <row r="34" spans="1:110" x14ac:dyDescent="0.35">
      <c r="A34" s="204" t="s">
        <v>301</v>
      </c>
      <c r="B34" s="173" t="s">
        <v>302</v>
      </c>
      <c r="C34" s="201" t="s">
        <v>493</v>
      </c>
      <c r="D34" s="210" t="s">
        <v>307</v>
      </c>
      <c r="E34" s="380" t="s">
        <v>889</v>
      </c>
      <c r="F34" s="214" t="s">
        <v>299</v>
      </c>
      <c r="G34" s="375" t="s">
        <v>37</v>
      </c>
      <c r="H34" s="212" t="s">
        <v>819</v>
      </c>
      <c r="I34" s="315">
        <v>88.2</v>
      </c>
      <c r="J34" s="315">
        <v>16.3</v>
      </c>
      <c r="K34" s="315">
        <v>46.4</v>
      </c>
      <c r="L34" s="315">
        <v>39.4</v>
      </c>
      <c r="M34" s="324">
        <v>1</v>
      </c>
      <c r="N34" s="324">
        <v>0</v>
      </c>
      <c r="O34" s="217" t="s">
        <v>37</v>
      </c>
      <c r="P34" s="217" t="s">
        <v>37</v>
      </c>
      <c r="Q34" s="328">
        <v>202</v>
      </c>
      <c r="R34" s="328">
        <v>130</v>
      </c>
      <c r="S34" s="328">
        <v>1.5538461538461539</v>
      </c>
      <c r="T34" s="345">
        <v>202</v>
      </c>
      <c r="U34" s="346">
        <v>130</v>
      </c>
      <c r="V34" s="328" t="s">
        <v>409</v>
      </c>
      <c r="W34" s="328" t="s">
        <v>409</v>
      </c>
      <c r="X34" s="328" t="s">
        <v>409</v>
      </c>
      <c r="Y34" s="218">
        <v>45534</v>
      </c>
      <c r="Z34" s="221">
        <v>45561</v>
      </c>
      <c r="AA34" s="170" t="s">
        <v>37</v>
      </c>
      <c r="AB34" s="246">
        <v>45596</v>
      </c>
      <c r="AC34" s="266" t="s">
        <v>191</v>
      </c>
      <c r="AD34" s="259">
        <v>45635</v>
      </c>
      <c r="AE34" s="260" t="s">
        <v>289</v>
      </c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338">
        <v>45678</v>
      </c>
      <c r="AW34" t="s">
        <v>461</v>
      </c>
      <c r="BA34" s="338"/>
    </row>
    <row r="35" spans="1:110" x14ac:dyDescent="0.35">
      <c r="A35" s="204" t="s">
        <v>303</v>
      </c>
      <c r="B35" s="173" t="s">
        <v>304</v>
      </c>
      <c r="C35" s="201" t="s">
        <v>890</v>
      </c>
      <c r="D35" s="210" t="s">
        <v>308</v>
      </c>
      <c r="E35" s="380" t="s">
        <v>888</v>
      </c>
      <c r="F35" s="214" t="s">
        <v>299</v>
      </c>
      <c r="G35" s="212" t="s">
        <v>882</v>
      </c>
      <c r="H35" s="212" t="s">
        <v>819</v>
      </c>
      <c r="I35" s="315">
        <v>19.7</v>
      </c>
      <c r="J35" s="315">
        <v>0</v>
      </c>
      <c r="K35" s="315">
        <v>0</v>
      </c>
      <c r="L35" s="315">
        <v>0</v>
      </c>
      <c r="M35" s="324">
        <v>0</v>
      </c>
      <c r="N35" s="324">
        <v>0</v>
      </c>
      <c r="O35" s="324">
        <v>0</v>
      </c>
      <c r="P35" s="324">
        <v>0</v>
      </c>
      <c r="Q35" s="328">
        <v>240</v>
      </c>
      <c r="R35" s="328">
        <v>5</v>
      </c>
      <c r="S35" s="328">
        <v>48</v>
      </c>
      <c r="T35" s="341" t="s">
        <v>37</v>
      </c>
      <c r="U35" s="341" t="s">
        <v>37</v>
      </c>
      <c r="V35" s="328" t="s">
        <v>495</v>
      </c>
      <c r="W35" s="328" t="s">
        <v>494</v>
      </c>
      <c r="X35" s="328" t="s">
        <v>496</v>
      </c>
      <c r="Y35" s="218">
        <v>45560</v>
      </c>
      <c r="Z35" s="221">
        <v>45594</v>
      </c>
      <c r="AA35" s="170" t="s">
        <v>37</v>
      </c>
      <c r="AB35" s="246">
        <v>45300</v>
      </c>
      <c r="AC35" s="294" t="s">
        <v>328</v>
      </c>
      <c r="AD35" s="246">
        <v>45705</v>
      </c>
      <c r="AE35" s="240" t="s">
        <v>328</v>
      </c>
      <c r="AF35" s="298">
        <v>45743</v>
      </c>
      <c r="AG35" s="260" t="s">
        <v>289</v>
      </c>
      <c r="AH35" s="454"/>
      <c r="AI35" s="454"/>
      <c r="AJ35" s="454"/>
      <c r="AK35" s="454"/>
      <c r="AL35" s="454"/>
      <c r="AM35" s="454"/>
      <c r="AN35" s="454"/>
      <c r="AO35" s="454"/>
      <c r="AP35" s="454"/>
      <c r="AQ35" s="454"/>
      <c r="AR35" s="454"/>
      <c r="AS35" s="454"/>
      <c r="AT35" s="454"/>
      <c r="AU35" s="454"/>
      <c r="AV35" s="338">
        <v>45992</v>
      </c>
      <c r="AW35" t="s">
        <v>460</v>
      </c>
    </row>
    <row r="36" spans="1:110" x14ac:dyDescent="0.35">
      <c r="A36" s="206" t="s">
        <v>305</v>
      </c>
      <c r="B36" s="207" t="s">
        <v>306</v>
      </c>
      <c r="C36" s="201" t="s">
        <v>891</v>
      </c>
      <c r="D36" s="211" t="s">
        <v>309</v>
      </c>
      <c r="E36" s="380" t="s">
        <v>888</v>
      </c>
      <c r="F36" s="215" t="s">
        <v>299</v>
      </c>
      <c r="G36" s="212" t="s">
        <v>883</v>
      </c>
      <c r="H36" s="212" t="s">
        <v>37</v>
      </c>
      <c r="I36" s="316">
        <v>1239.0999999999999</v>
      </c>
      <c r="J36" s="316">
        <v>63.3</v>
      </c>
      <c r="K36" s="316">
        <v>8.1</v>
      </c>
      <c r="L36" s="321" t="s">
        <v>37</v>
      </c>
      <c r="M36" s="324">
        <v>0</v>
      </c>
      <c r="N36" s="324">
        <v>0</v>
      </c>
      <c r="O36" s="217" t="s">
        <v>37</v>
      </c>
      <c r="P36" s="217" t="s">
        <v>37</v>
      </c>
      <c r="Q36" s="329">
        <v>247.5</v>
      </c>
      <c r="R36" s="329">
        <v>127.5</v>
      </c>
      <c r="S36" s="329">
        <v>1.9411764705882353</v>
      </c>
      <c r="T36" s="344" t="s">
        <v>37</v>
      </c>
      <c r="U36" s="344" t="s">
        <v>37</v>
      </c>
      <c r="V36" s="329" t="s">
        <v>409</v>
      </c>
      <c r="W36" s="329" t="s">
        <v>409</v>
      </c>
      <c r="X36" s="329" t="s">
        <v>409</v>
      </c>
      <c r="Y36" s="219">
        <v>45561</v>
      </c>
      <c r="Z36" s="281">
        <v>45610</v>
      </c>
      <c r="AA36" s="170" t="s">
        <v>37</v>
      </c>
      <c r="AB36" s="200">
        <v>45625</v>
      </c>
      <c r="AC36" s="266" t="s">
        <v>191</v>
      </c>
      <c r="AD36" s="307">
        <v>45674</v>
      </c>
      <c r="AE36" s="196" t="s">
        <v>344</v>
      </c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54"/>
      <c r="AQ36" s="454"/>
      <c r="AR36" s="454"/>
      <c r="AS36" s="454"/>
      <c r="AT36" s="454"/>
      <c r="AU36" s="454"/>
      <c r="AV36" s="338">
        <v>45674</v>
      </c>
      <c r="AW36" t="s">
        <v>461</v>
      </c>
    </row>
    <row r="37" spans="1:110" s="205" customFormat="1" x14ac:dyDescent="0.35">
      <c r="A37" s="204" t="s">
        <v>310</v>
      </c>
      <c r="B37" s="228" t="s">
        <v>311</v>
      </c>
      <c r="C37" s="174">
        <v>2410458</v>
      </c>
      <c r="D37" s="229" t="s">
        <v>318</v>
      </c>
      <c r="E37" s="381"/>
      <c r="F37" s="230" t="s">
        <v>297</v>
      </c>
      <c r="G37" s="212" t="s">
        <v>883</v>
      </c>
      <c r="H37" s="212" t="s">
        <v>816</v>
      </c>
      <c r="I37" s="317">
        <v>3064</v>
      </c>
      <c r="J37" s="317">
        <v>0</v>
      </c>
      <c r="K37" s="317">
        <v>0</v>
      </c>
      <c r="L37" s="322" t="s">
        <v>425</v>
      </c>
      <c r="M37" s="324">
        <v>1</v>
      </c>
      <c r="N37" s="324">
        <v>0</v>
      </c>
      <c r="O37" s="324">
        <v>11</v>
      </c>
      <c r="P37" s="324" t="s">
        <v>37</v>
      </c>
      <c r="Q37" s="330">
        <v>288.5</v>
      </c>
      <c r="R37" s="330">
        <v>50</v>
      </c>
      <c r="S37" s="330">
        <v>5.77</v>
      </c>
      <c r="T37" s="341">
        <v>293</v>
      </c>
      <c r="U37" s="341">
        <v>180</v>
      </c>
      <c r="V37" s="330" t="s">
        <v>497</v>
      </c>
      <c r="W37" s="330" t="s">
        <v>475</v>
      </c>
      <c r="X37" s="330" t="s">
        <v>498</v>
      </c>
      <c r="Y37" s="234">
        <v>45567</v>
      </c>
      <c r="Z37" s="246">
        <v>45596</v>
      </c>
      <c r="AA37" s="170" t="s">
        <v>37</v>
      </c>
      <c r="AB37" s="282">
        <v>45631</v>
      </c>
      <c r="AC37" s="266" t="s">
        <v>293</v>
      </c>
      <c r="AD37" s="195">
        <v>45771</v>
      </c>
      <c r="AE37" s="196" t="s">
        <v>289</v>
      </c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  <c r="AQ37" s="454"/>
      <c r="AR37" s="454"/>
      <c r="AS37" s="454"/>
      <c r="AT37" s="454"/>
      <c r="AU37" s="454"/>
      <c r="AV37" s="338">
        <v>46113</v>
      </c>
      <c r="AW37" t="s">
        <v>460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</row>
    <row r="38" spans="1:110" s="205" customFormat="1" x14ac:dyDescent="0.35">
      <c r="A38" s="204" t="s">
        <v>314</v>
      </c>
      <c r="B38" s="228" t="s">
        <v>315</v>
      </c>
      <c r="C38" s="201" t="s">
        <v>892</v>
      </c>
      <c r="D38" s="229" t="s">
        <v>323</v>
      </c>
      <c r="E38" s="380" t="s">
        <v>889</v>
      </c>
      <c r="F38" s="232" t="s">
        <v>299</v>
      </c>
      <c r="G38" s="212" t="s">
        <v>883</v>
      </c>
      <c r="H38" s="212" t="s">
        <v>37</v>
      </c>
      <c r="I38" s="317">
        <v>17.399999999999999</v>
      </c>
      <c r="J38" s="317">
        <v>3.3</v>
      </c>
      <c r="K38" s="317">
        <v>24</v>
      </c>
      <c r="L38" s="317">
        <v>51.1</v>
      </c>
      <c r="M38" s="324">
        <v>1</v>
      </c>
      <c r="N38" s="324">
        <v>0</v>
      </c>
      <c r="O38" s="324">
        <v>10</v>
      </c>
      <c r="P38" s="324">
        <v>0</v>
      </c>
      <c r="Q38" s="330">
        <v>232.5</v>
      </c>
      <c r="R38" s="330">
        <v>200</v>
      </c>
      <c r="S38" s="330">
        <v>1.1625000000000001</v>
      </c>
      <c r="T38" s="341" t="s">
        <v>37</v>
      </c>
      <c r="U38" s="341" t="s">
        <v>37</v>
      </c>
      <c r="V38" s="330" t="s">
        <v>500</v>
      </c>
      <c r="W38" s="330" t="s">
        <v>499</v>
      </c>
      <c r="X38" s="330" t="s">
        <v>501</v>
      </c>
      <c r="Y38" s="234">
        <v>45587</v>
      </c>
      <c r="Z38" s="246">
        <v>45614</v>
      </c>
      <c r="AA38" s="170" t="s">
        <v>37</v>
      </c>
      <c r="AB38" s="246">
        <v>45642</v>
      </c>
      <c r="AC38" s="266" t="s">
        <v>293</v>
      </c>
      <c r="AD38" s="281">
        <v>45702</v>
      </c>
      <c r="AE38" s="257" t="s">
        <v>293</v>
      </c>
      <c r="AF38" s="299">
        <v>45757</v>
      </c>
      <c r="AG38" s="258" t="s">
        <v>289</v>
      </c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4"/>
      <c r="AV38" s="338">
        <v>46078</v>
      </c>
      <c r="AW38" t="s">
        <v>461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</row>
    <row r="39" spans="1:110" s="208" customFormat="1" ht="15" thickBot="1" x14ac:dyDescent="0.4">
      <c r="A39" s="206" t="s">
        <v>312</v>
      </c>
      <c r="B39" s="235" t="s">
        <v>313</v>
      </c>
      <c r="C39" s="201" t="s">
        <v>893</v>
      </c>
      <c r="D39" s="229" t="s">
        <v>324</v>
      </c>
      <c r="E39" s="380" t="s">
        <v>889</v>
      </c>
      <c r="F39" s="233" t="s">
        <v>299</v>
      </c>
      <c r="G39" s="212" t="s">
        <v>883</v>
      </c>
      <c r="H39" s="212" t="s">
        <v>874</v>
      </c>
      <c r="I39" s="318">
        <v>263.3</v>
      </c>
      <c r="J39" s="318">
        <v>156.19999999999999</v>
      </c>
      <c r="K39" s="320" t="s">
        <v>37</v>
      </c>
      <c r="L39" s="318">
        <v>117</v>
      </c>
      <c r="M39" s="324">
        <v>43</v>
      </c>
      <c r="N39" s="324">
        <v>0</v>
      </c>
      <c r="O39" s="324">
        <v>10</v>
      </c>
      <c r="P39" s="324">
        <v>0</v>
      </c>
      <c r="Q39" s="331">
        <v>212.5</v>
      </c>
      <c r="R39" s="331">
        <v>170</v>
      </c>
      <c r="S39" s="331">
        <v>1.25</v>
      </c>
      <c r="T39" s="347">
        <v>212.5</v>
      </c>
      <c r="U39" s="348">
        <v>170</v>
      </c>
      <c r="V39" s="331" t="s">
        <v>502</v>
      </c>
      <c r="W39" s="331" t="s">
        <v>503</v>
      </c>
      <c r="X39" s="331" t="s">
        <v>504</v>
      </c>
      <c r="Y39" s="237">
        <v>45588</v>
      </c>
      <c r="Z39" s="281">
        <v>45610</v>
      </c>
      <c r="AA39" s="170" t="s">
        <v>37</v>
      </c>
      <c r="AB39" s="195">
        <v>45644</v>
      </c>
      <c r="AC39" s="245" t="s">
        <v>289</v>
      </c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338">
        <v>45823</v>
      </c>
      <c r="AW39" t="s">
        <v>461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</row>
    <row r="40" spans="1:110" s="205" customFormat="1" x14ac:dyDescent="0.35">
      <c r="A40" s="204" t="s">
        <v>319</v>
      </c>
      <c r="B40" s="173" t="s">
        <v>216</v>
      </c>
      <c r="C40" s="201" t="s">
        <v>879</v>
      </c>
      <c r="D40" s="210" t="s">
        <v>325</v>
      </c>
      <c r="E40" s="380" t="s">
        <v>888</v>
      </c>
      <c r="F40" s="214" t="s">
        <v>299</v>
      </c>
      <c r="G40" s="375" t="s">
        <v>875</v>
      </c>
      <c r="H40" s="212" t="s">
        <v>875</v>
      </c>
      <c r="I40" s="315">
        <v>212</v>
      </c>
      <c r="J40" s="315">
        <v>0</v>
      </c>
      <c r="K40" s="315">
        <v>0</v>
      </c>
      <c r="L40" s="217" t="s">
        <v>875</v>
      </c>
      <c r="M40" s="324">
        <v>1</v>
      </c>
      <c r="N40" s="324">
        <v>0</v>
      </c>
      <c r="O40" s="217" t="s">
        <v>875</v>
      </c>
      <c r="P40" s="217" t="s">
        <v>875</v>
      </c>
      <c r="Q40" s="328">
        <v>0</v>
      </c>
      <c r="R40" s="328">
        <v>50</v>
      </c>
      <c r="S40" s="328">
        <v>0</v>
      </c>
      <c r="T40" s="341" t="s">
        <v>875</v>
      </c>
      <c r="U40" s="341" t="s">
        <v>875</v>
      </c>
      <c r="V40" s="341" t="s">
        <v>875</v>
      </c>
      <c r="W40" s="341" t="s">
        <v>875</v>
      </c>
      <c r="X40" s="341" t="s">
        <v>875</v>
      </c>
      <c r="Y40" s="234">
        <v>45603</v>
      </c>
      <c r="Z40" s="246">
        <v>45628</v>
      </c>
      <c r="AA40" s="169" t="s">
        <v>37</v>
      </c>
      <c r="AB40" s="246">
        <v>45665</v>
      </c>
      <c r="AC40" s="263" t="s">
        <v>191</v>
      </c>
      <c r="AD40" s="246">
        <v>45719</v>
      </c>
      <c r="AE40" s="242" t="s">
        <v>191</v>
      </c>
      <c r="AF40" s="256">
        <v>45777</v>
      </c>
      <c r="AG40" s="247"/>
      <c r="AH40" s="256">
        <v>45866</v>
      </c>
      <c r="AI40" s="254"/>
      <c r="AJ40" s="246">
        <v>46025</v>
      </c>
      <c r="AK40" s="254"/>
      <c r="AL40" s="246">
        <v>46062</v>
      </c>
      <c r="AM40" s="254"/>
      <c r="AN40" s="252"/>
      <c r="AO40" s="253"/>
      <c r="AP40" s="252"/>
      <c r="AQ40" s="253"/>
      <c r="AR40" s="252"/>
      <c r="AS40" s="253"/>
      <c r="AT40" s="252"/>
      <c r="AU40" s="269"/>
      <c r="AV40" s="338">
        <v>46066</v>
      </c>
      <c r="AW40" t="s">
        <v>460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</row>
    <row r="41" spans="1:110" s="205" customFormat="1" ht="15.75" customHeight="1" x14ac:dyDescent="0.35">
      <c r="A41" s="204" t="s">
        <v>320</v>
      </c>
      <c r="B41" s="173" t="s">
        <v>178</v>
      </c>
      <c r="C41" s="201" t="s">
        <v>894</v>
      </c>
      <c r="D41" s="210" t="s">
        <v>326</v>
      </c>
      <c r="E41" s="380" t="s">
        <v>888</v>
      </c>
      <c r="F41" s="214" t="s">
        <v>299</v>
      </c>
      <c r="G41" s="212" t="s">
        <v>883</v>
      </c>
      <c r="H41" s="212" t="s">
        <v>816</v>
      </c>
      <c r="I41" s="315">
        <v>1277.8</v>
      </c>
      <c r="J41" s="315">
        <v>17.5</v>
      </c>
      <c r="K41" s="315">
        <v>40.200000000000003</v>
      </c>
      <c r="L41" s="315">
        <v>100000</v>
      </c>
      <c r="M41" s="324">
        <v>0</v>
      </c>
      <c r="N41" s="324">
        <v>0</v>
      </c>
      <c r="O41" s="324">
        <v>14</v>
      </c>
      <c r="P41" s="324">
        <v>2</v>
      </c>
      <c r="Q41" s="328">
        <v>26.5</v>
      </c>
      <c r="R41" s="328">
        <v>125</v>
      </c>
      <c r="S41" s="328">
        <v>0.21199999999999999</v>
      </c>
      <c r="T41" s="341">
        <v>40</v>
      </c>
      <c r="U41" s="341">
        <v>45</v>
      </c>
      <c r="V41" s="328" t="s">
        <v>409</v>
      </c>
      <c r="W41" s="328" t="s">
        <v>409</v>
      </c>
      <c r="X41" s="328" t="s">
        <v>409</v>
      </c>
      <c r="Y41" s="234">
        <v>45609</v>
      </c>
      <c r="Z41" s="246">
        <v>45635</v>
      </c>
      <c r="AA41" s="170" t="s">
        <v>37</v>
      </c>
      <c r="AB41" s="246">
        <v>45667</v>
      </c>
      <c r="AC41" s="266" t="s">
        <v>316</v>
      </c>
      <c r="AD41" s="195">
        <v>45722</v>
      </c>
      <c r="AE41" s="245" t="s">
        <v>289</v>
      </c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4"/>
      <c r="AV41" s="338">
        <v>45730</v>
      </c>
      <c r="AW41" t="s">
        <v>461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</row>
    <row r="42" spans="1:110" s="205" customFormat="1" ht="15.75" customHeight="1" x14ac:dyDescent="0.35">
      <c r="A42" s="204" t="s">
        <v>321</v>
      </c>
      <c r="B42" s="173" t="s">
        <v>322</v>
      </c>
      <c r="C42" s="174">
        <v>2307744</v>
      </c>
      <c r="D42" s="210" t="s">
        <v>327</v>
      </c>
      <c r="E42" s="380"/>
      <c r="F42" s="213" t="s">
        <v>297</v>
      </c>
      <c r="G42" s="212" t="s">
        <v>875</v>
      </c>
      <c r="H42" s="212" t="s">
        <v>875</v>
      </c>
      <c r="I42" s="315">
        <v>0</v>
      </c>
      <c r="J42" s="315">
        <v>0</v>
      </c>
      <c r="K42" s="315">
        <v>0</v>
      </c>
      <c r="L42" s="217" t="s">
        <v>875</v>
      </c>
      <c r="M42" s="324">
        <v>0</v>
      </c>
      <c r="N42" s="324">
        <v>0</v>
      </c>
      <c r="O42" s="217" t="s">
        <v>875</v>
      </c>
      <c r="P42" s="217" t="s">
        <v>875</v>
      </c>
      <c r="Q42" s="328">
        <v>80</v>
      </c>
      <c r="R42" s="328">
        <v>50</v>
      </c>
      <c r="S42" s="328">
        <v>1.6</v>
      </c>
      <c r="T42" s="328" t="s">
        <v>875</v>
      </c>
      <c r="U42" s="328" t="s">
        <v>875</v>
      </c>
      <c r="V42" s="328" t="s">
        <v>875</v>
      </c>
      <c r="W42" s="328" t="s">
        <v>875</v>
      </c>
      <c r="X42" s="328" t="s">
        <v>875</v>
      </c>
      <c r="Y42" s="234">
        <v>45623</v>
      </c>
      <c r="Z42" s="246">
        <v>45293</v>
      </c>
      <c r="AA42" s="241" t="s">
        <v>37</v>
      </c>
      <c r="AB42" s="246">
        <v>45679</v>
      </c>
      <c r="AC42" s="263" t="s">
        <v>191</v>
      </c>
      <c r="AD42" s="246">
        <v>45735</v>
      </c>
      <c r="AE42" s="247"/>
      <c r="AF42" s="293">
        <v>45833</v>
      </c>
      <c r="AG42" s="247"/>
      <c r="AH42" s="293">
        <v>45924</v>
      </c>
      <c r="AI42" s="254"/>
      <c r="AJ42" s="300">
        <v>46050</v>
      </c>
      <c r="AK42" s="270"/>
      <c r="AL42" s="261"/>
      <c r="AM42" s="23"/>
      <c r="AN42" s="261"/>
      <c r="AO42" s="23"/>
      <c r="AP42" s="261"/>
      <c r="AQ42" s="23"/>
      <c r="AR42" s="261"/>
      <c r="AS42" s="23"/>
      <c r="AT42" s="261"/>
      <c r="AU42" s="262"/>
      <c r="AV42" s="338">
        <v>46050</v>
      </c>
      <c r="AW42" t="s">
        <v>460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</row>
    <row r="43" spans="1:110" x14ac:dyDescent="0.35">
      <c r="A43" s="204" t="s">
        <v>329</v>
      </c>
      <c r="B43" s="173" t="s">
        <v>330</v>
      </c>
      <c r="C43" s="201" t="s">
        <v>895</v>
      </c>
      <c r="D43" s="210" t="s">
        <v>339</v>
      </c>
      <c r="E43" s="380" t="s">
        <v>888</v>
      </c>
      <c r="F43" s="214" t="s">
        <v>299</v>
      </c>
      <c r="G43" s="212" t="s">
        <v>875</v>
      </c>
      <c r="H43" s="212" t="s">
        <v>875</v>
      </c>
      <c r="I43" s="315">
        <v>21.2</v>
      </c>
      <c r="J43" s="315">
        <v>0</v>
      </c>
      <c r="K43" s="315">
        <v>0</v>
      </c>
      <c r="L43" s="217" t="s">
        <v>875</v>
      </c>
      <c r="M43" s="324">
        <v>0</v>
      </c>
      <c r="N43" s="324">
        <v>0</v>
      </c>
      <c r="O43" s="217" t="s">
        <v>875</v>
      </c>
      <c r="P43" s="217" t="s">
        <v>875</v>
      </c>
      <c r="Q43" s="328">
        <v>252.5</v>
      </c>
      <c r="R43" s="328">
        <v>185</v>
      </c>
      <c r="S43" s="328">
        <v>1.3648648648648649</v>
      </c>
      <c r="T43" s="328" t="s">
        <v>875</v>
      </c>
      <c r="U43" s="328" t="s">
        <v>875</v>
      </c>
      <c r="V43" s="328" t="s">
        <v>875</v>
      </c>
      <c r="W43" s="328" t="s">
        <v>875</v>
      </c>
      <c r="X43" s="328" t="s">
        <v>875</v>
      </c>
      <c r="Y43" s="234">
        <v>45665</v>
      </c>
      <c r="Z43" s="246">
        <v>45749</v>
      </c>
      <c r="AA43" s="170" t="s">
        <v>37</v>
      </c>
      <c r="AB43" s="246">
        <v>45776</v>
      </c>
      <c r="AC43" s="266" t="s">
        <v>316</v>
      </c>
      <c r="AD43" s="246">
        <v>45847</v>
      </c>
      <c r="AE43" s="169" t="s">
        <v>316</v>
      </c>
      <c r="AF43" s="256">
        <v>45904</v>
      </c>
      <c r="AG43" s="247"/>
      <c r="AH43" s="256">
        <v>45974</v>
      </c>
      <c r="AI43" s="254"/>
      <c r="AJ43" s="287"/>
      <c r="AK43" s="25"/>
      <c r="AL43" s="287">
        <v>46078</v>
      </c>
      <c r="AM43" s="25"/>
      <c r="AN43" s="287"/>
      <c r="AO43" s="25"/>
      <c r="AP43" s="287"/>
      <c r="AQ43" s="25"/>
      <c r="AR43" s="287"/>
      <c r="AS43" s="25"/>
      <c r="AT43" s="287"/>
      <c r="AU43" s="288"/>
      <c r="AV43" s="338">
        <v>46078</v>
      </c>
      <c r="AW43" t="s">
        <v>460</v>
      </c>
    </row>
    <row r="44" spans="1:110" s="357" customFormat="1" x14ac:dyDescent="0.35">
      <c r="A44" s="349" t="s">
        <v>331</v>
      </c>
      <c r="B44" s="173" t="s">
        <v>332</v>
      </c>
      <c r="C44" s="174">
        <v>8600721</v>
      </c>
      <c r="D44" s="210" t="s">
        <v>340</v>
      </c>
      <c r="E44" s="380"/>
      <c r="F44" s="213" t="s">
        <v>298</v>
      </c>
      <c r="G44" s="212" t="s">
        <v>875</v>
      </c>
      <c r="H44" s="212" t="s">
        <v>875</v>
      </c>
      <c r="I44" s="315">
        <v>0</v>
      </c>
      <c r="J44" s="315">
        <v>0</v>
      </c>
      <c r="K44" s="315">
        <v>0</v>
      </c>
      <c r="L44" s="217" t="s">
        <v>875</v>
      </c>
      <c r="M44" s="325">
        <v>0</v>
      </c>
      <c r="N44" s="325">
        <v>0</v>
      </c>
      <c r="O44" s="217" t="s">
        <v>875</v>
      </c>
      <c r="P44" s="217" t="s">
        <v>875</v>
      </c>
      <c r="Q44" s="328">
        <v>165</v>
      </c>
      <c r="R44" s="328">
        <v>0</v>
      </c>
      <c r="S44" s="328">
        <v>165</v>
      </c>
      <c r="T44" s="328" t="s">
        <v>875</v>
      </c>
      <c r="U44" s="328" t="s">
        <v>875</v>
      </c>
      <c r="V44" s="328" t="s">
        <v>875</v>
      </c>
      <c r="W44" s="328" t="s">
        <v>875</v>
      </c>
      <c r="X44" s="328" t="s">
        <v>875</v>
      </c>
      <c r="Y44" s="350">
        <v>45667</v>
      </c>
      <c r="Z44" s="282">
        <v>45702</v>
      </c>
      <c r="AA44" s="170" t="s">
        <v>37</v>
      </c>
      <c r="AB44" s="282">
        <v>45733</v>
      </c>
      <c r="AC44" s="266" t="s">
        <v>191</v>
      </c>
      <c r="AD44" s="282">
        <v>45824</v>
      </c>
      <c r="AE44" s="169" t="s">
        <v>191</v>
      </c>
      <c r="AF44" s="351">
        <v>45926</v>
      </c>
      <c r="AG44" s="247"/>
      <c r="AH44" s="351">
        <v>46010</v>
      </c>
      <c r="AI44" s="254"/>
      <c r="AJ44" s="352">
        <v>46052</v>
      </c>
      <c r="AK44" s="254"/>
      <c r="AL44" s="353"/>
      <c r="AM44" s="354"/>
      <c r="AN44" s="353"/>
      <c r="AO44" s="354"/>
      <c r="AP44" s="353"/>
      <c r="AQ44" s="354"/>
      <c r="AR44" s="353"/>
      <c r="AS44" s="354"/>
      <c r="AT44" s="353"/>
      <c r="AU44" s="355"/>
      <c r="AV44" s="356">
        <v>46098</v>
      </c>
      <c r="AW44" s="357" t="s">
        <v>460</v>
      </c>
    </row>
    <row r="45" spans="1:110" ht="15.75" customHeight="1" x14ac:dyDescent="0.35">
      <c r="A45" s="204" t="s">
        <v>333</v>
      </c>
      <c r="B45" s="173" t="s">
        <v>334</v>
      </c>
      <c r="C45" s="201" t="s">
        <v>896</v>
      </c>
      <c r="D45" s="210" t="s">
        <v>341</v>
      </c>
      <c r="E45" s="380" t="s">
        <v>888</v>
      </c>
      <c r="F45" s="214" t="s">
        <v>299</v>
      </c>
      <c r="G45" s="212" t="s">
        <v>875</v>
      </c>
      <c r="H45" s="212" t="s">
        <v>875</v>
      </c>
      <c r="I45" s="315">
        <v>30.9</v>
      </c>
      <c r="J45" s="315">
        <v>0</v>
      </c>
      <c r="K45" s="315">
        <v>0</v>
      </c>
      <c r="L45" s="217" t="s">
        <v>875</v>
      </c>
      <c r="M45" s="324">
        <v>0</v>
      </c>
      <c r="N45" s="324">
        <v>0</v>
      </c>
      <c r="O45" s="217" t="s">
        <v>875</v>
      </c>
      <c r="P45" s="217" t="s">
        <v>875</v>
      </c>
      <c r="Q45" s="328">
        <v>293</v>
      </c>
      <c r="R45" s="328">
        <v>202.5</v>
      </c>
      <c r="S45" s="328">
        <v>1.4469135802469135</v>
      </c>
      <c r="T45" s="328" t="s">
        <v>875</v>
      </c>
      <c r="U45" s="328" t="s">
        <v>875</v>
      </c>
      <c r="V45" s="328" t="s">
        <v>875</v>
      </c>
      <c r="W45" s="328" t="s">
        <v>875</v>
      </c>
      <c r="X45" s="328" t="s">
        <v>875</v>
      </c>
      <c r="Y45" s="234">
        <v>45673</v>
      </c>
      <c r="Z45" s="246">
        <v>45722</v>
      </c>
      <c r="AA45" s="170" t="s">
        <v>37</v>
      </c>
      <c r="AB45" s="246">
        <v>45757</v>
      </c>
      <c r="AC45" s="263" t="s">
        <v>191</v>
      </c>
      <c r="AD45" s="246">
        <v>45819</v>
      </c>
      <c r="AE45" s="242" t="s">
        <v>191</v>
      </c>
      <c r="AF45" s="256">
        <v>45925</v>
      </c>
      <c r="AG45" s="247"/>
      <c r="AH45" s="292">
        <v>45987</v>
      </c>
      <c r="AI45" s="270"/>
      <c r="AJ45" s="281">
        <v>46079</v>
      </c>
      <c r="AK45" s="270"/>
      <c r="AL45" s="261"/>
      <c r="AM45" s="23"/>
      <c r="AN45" s="261"/>
      <c r="AO45" s="23"/>
      <c r="AP45" s="261"/>
      <c r="AQ45" s="23"/>
      <c r="AR45" s="261"/>
      <c r="AS45" s="23"/>
      <c r="AT45" s="261"/>
      <c r="AU45" s="262"/>
      <c r="AV45" s="338">
        <v>46079</v>
      </c>
      <c r="AW45" t="s">
        <v>460</v>
      </c>
    </row>
    <row r="46" spans="1:110" x14ac:dyDescent="0.35">
      <c r="A46" s="204" t="s">
        <v>335</v>
      </c>
      <c r="B46" s="173" t="s">
        <v>336</v>
      </c>
      <c r="C46" s="201" t="s">
        <v>897</v>
      </c>
      <c r="D46" s="210" t="s">
        <v>342</v>
      </c>
      <c r="E46" s="380" t="s">
        <v>888</v>
      </c>
      <c r="F46" s="214" t="s">
        <v>299</v>
      </c>
      <c r="G46" s="212" t="s">
        <v>882</v>
      </c>
      <c r="H46" s="212" t="s">
        <v>878</v>
      </c>
      <c r="I46" s="315">
        <v>6205</v>
      </c>
      <c r="J46" s="315">
        <v>3.5</v>
      </c>
      <c r="K46" s="315">
        <v>21.1</v>
      </c>
      <c r="L46" s="217" t="s">
        <v>37</v>
      </c>
      <c r="M46" s="324">
        <v>33</v>
      </c>
      <c r="N46" s="324">
        <v>0</v>
      </c>
      <c r="O46" s="217" t="s">
        <v>37</v>
      </c>
      <c r="P46" s="217" t="s">
        <v>37</v>
      </c>
      <c r="Q46" s="328">
        <v>270</v>
      </c>
      <c r="R46" s="328">
        <v>0</v>
      </c>
      <c r="S46" s="328">
        <v>270</v>
      </c>
      <c r="T46" s="328" t="s">
        <v>37</v>
      </c>
      <c r="U46" s="328" t="s">
        <v>37</v>
      </c>
      <c r="V46" s="328" t="s">
        <v>409</v>
      </c>
      <c r="W46" s="328" t="s">
        <v>409</v>
      </c>
      <c r="X46" s="328" t="s">
        <v>409</v>
      </c>
      <c r="Y46" s="234">
        <v>45691</v>
      </c>
      <c r="Z46" s="246">
        <v>45737</v>
      </c>
      <c r="AA46" s="169" t="s">
        <v>37</v>
      </c>
      <c r="AB46" s="246">
        <v>45763</v>
      </c>
      <c r="AC46" s="263" t="s">
        <v>191</v>
      </c>
      <c r="AD46" s="246">
        <v>45828</v>
      </c>
      <c r="AE46" s="242" t="s">
        <v>191</v>
      </c>
      <c r="AF46" s="308">
        <v>45889</v>
      </c>
      <c r="AG46" s="245" t="s">
        <v>375</v>
      </c>
      <c r="AH46" s="454"/>
      <c r="AI46" s="454"/>
      <c r="AJ46" s="454"/>
      <c r="AK46" s="454"/>
      <c r="AL46" s="454"/>
      <c r="AM46" s="454"/>
      <c r="AN46" s="454"/>
      <c r="AO46" s="454"/>
      <c r="AP46" s="454"/>
      <c r="AQ46" s="454"/>
      <c r="AR46" s="454"/>
      <c r="AS46" s="454"/>
      <c r="AT46" s="454"/>
      <c r="AU46" s="454"/>
      <c r="AV46" s="338">
        <v>45889</v>
      </c>
      <c r="AW46" t="s">
        <v>461</v>
      </c>
    </row>
    <row r="47" spans="1:110" ht="15.75" customHeight="1" x14ac:dyDescent="0.35">
      <c r="A47" s="204" t="s">
        <v>337</v>
      </c>
      <c r="B47" s="173" t="s">
        <v>338</v>
      </c>
      <c r="C47" s="201" t="s">
        <v>898</v>
      </c>
      <c r="D47" s="210" t="s">
        <v>343</v>
      </c>
      <c r="E47" s="380" t="s">
        <v>888</v>
      </c>
      <c r="F47" s="214" t="s">
        <v>299</v>
      </c>
      <c r="G47" s="212" t="s">
        <v>883</v>
      </c>
      <c r="H47" s="212" t="s">
        <v>37</v>
      </c>
      <c r="I47" s="315">
        <v>234.9</v>
      </c>
      <c r="J47" s="315">
        <v>0</v>
      </c>
      <c r="K47" s="315">
        <v>0</v>
      </c>
      <c r="L47" s="217" t="s">
        <v>409</v>
      </c>
      <c r="M47" s="324">
        <v>0</v>
      </c>
      <c r="N47" s="324">
        <v>0</v>
      </c>
      <c r="O47" s="217" t="s">
        <v>409</v>
      </c>
      <c r="P47" s="217" t="s">
        <v>409</v>
      </c>
      <c r="Q47" s="328">
        <v>237.5</v>
      </c>
      <c r="R47" s="328">
        <v>150</v>
      </c>
      <c r="S47" s="328">
        <v>1.5833333333333333</v>
      </c>
      <c r="T47" s="328" t="s">
        <v>37</v>
      </c>
      <c r="U47" s="328" t="s">
        <v>37</v>
      </c>
      <c r="V47" s="328" t="s">
        <v>505</v>
      </c>
      <c r="W47" s="328" t="s">
        <v>467</v>
      </c>
      <c r="X47" s="328"/>
      <c r="Y47" s="234">
        <v>45701</v>
      </c>
      <c r="Z47" s="246">
        <v>45735</v>
      </c>
      <c r="AA47" s="170" t="s">
        <v>37</v>
      </c>
      <c r="AB47" s="246">
        <v>45763</v>
      </c>
      <c r="AC47" s="266" t="s">
        <v>316</v>
      </c>
      <c r="AD47" s="246">
        <v>45847</v>
      </c>
      <c r="AE47" s="169" t="s">
        <v>316</v>
      </c>
      <c r="AF47" s="278">
        <v>46091</v>
      </c>
      <c r="AG47" s="196" t="s">
        <v>289</v>
      </c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338">
        <v>46091</v>
      </c>
      <c r="AW47" t="s">
        <v>460</v>
      </c>
    </row>
    <row r="48" spans="1:110" x14ac:dyDescent="0.35">
      <c r="A48" s="204" t="s">
        <v>345</v>
      </c>
      <c r="B48" s="173" t="s">
        <v>346</v>
      </c>
      <c r="C48" s="174">
        <v>2501572</v>
      </c>
      <c r="D48" s="210" t="s">
        <v>349</v>
      </c>
      <c r="E48" s="380" t="s">
        <v>888</v>
      </c>
      <c r="F48" s="214" t="s">
        <v>299</v>
      </c>
      <c r="G48" s="212" t="s">
        <v>875</v>
      </c>
      <c r="H48" s="212" t="s">
        <v>875</v>
      </c>
      <c r="I48" s="315">
        <v>0</v>
      </c>
      <c r="J48" s="217" t="s">
        <v>37</v>
      </c>
      <c r="K48" s="315">
        <v>0</v>
      </c>
      <c r="L48" s="217" t="s">
        <v>875</v>
      </c>
      <c r="M48" s="324">
        <v>0</v>
      </c>
      <c r="N48" s="324">
        <v>0</v>
      </c>
      <c r="O48" s="217" t="s">
        <v>875</v>
      </c>
      <c r="P48" s="217" t="s">
        <v>875</v>
      </c>
      <c r="Q48" s="328" t="s">
        <v>37</v>
      </c>
      <c r="R48" s="328" t="s">
        <v>37</v>
      </c>
      <c r="S48" s="328" t="s">
        <v>37</v>
      </c>
      <c r="T48" s="328" t="s">
        <v>875</v>
      </c>
      <c r="U48" s="328" t="s">
        <v>875</v>
      </c>
      <c r="V48" s="328" t="s">
        <v>875</v>
      </c>
      <c r="W48" s="328" t="s">
        <v>875</v>
      </c>
      <c r="X48" s="328" t="s">
        <v>875</v>
      </c>
      <c r="Y48" s="234">
        <v>45722</v>
      </c>
      <c r="Z48" s="246">
        <v>45764</v>
      </c>
      <c r="AA48" s="241" t="s">
        <v>37</v>
      </c>
      <c r="AB48" s="246">
        <v>45800</v>
      </c>
      <c r="AC48" s="263" t="s">
        <v>191</v>
      </c>
      <c r="AD48" s="246">
        <v>45869</v>
      </c>
      <c r="AE48" s="242" t="s">
        <v>191</v>
      </c>
      <c r="AF48" s="256">
        <v>45932</v>
      </c>
      <c r="AG48" s="247"/>
      <c r="AH48" s="256">
        <v>46001</v>
      </c>
      <c r="AI48" s="254"/>
      <c r="AJ48" s="246">
        <v>46092</v>
      </c>
      <c r="AK48" s="254"/>
      <c r="AL48" s="261"/>
      <c r="AM48" s="23"/>
      <c r="AN48" s="261"/>
      <c r="AO48" s="23"/>
      <c r="AP48" s="261"/>
      <c r="AQ48" s="23"/>
      <c r="AR48" s="261"/>
      <c r="AS48" s="23"/>
      <c r="AT48" s="261"/>
      <c r="AU48" s="262"/>
      <c r="AV48" s="338">
        <v>46092</v>
      </c>
      <c r="AW48" t="s">
        <v>460</v>
      </c>
    </row>
    <row r="49" spans="1:49" x14ac:dyDescent="0.35">
      <c r="A49" s="204" t="s">
        <v>347</v>
      </c>
      <c r="B49" s="173" t="s">
        <v>348</v>
      </c>
      <c r="C49" s="382" t="s">
        <v>899</v>
      </c>
      <c r="D49" s="210" t="s">
        <v>350</v>
      </c>
      <c r="E49" s="380" t="s">
        <v>888</v>
      </c>
      <c r="F49" s="214" t="s">
        <v>299</v>
      </c>
      <c r="G49" s="212" t="s">
        <v>875</v>
      </c>
      <c r="H49" s="212" t="s">
        <v>875</v>
      </c>
      <c r="I49" s="315">
        <v>46.5</v>
      </c>
      <c r="J49" s="315">
        <v>0</v>
      </c>
      <c r="K49" s="315">
        <v>0</v>
      </c>
      <c r="L49" s="217" t="s">
        <v>875</v>
      </c>
      <c r="M49" s="324">
        <v>1</v>
      </c>
      <c r="N49" s="324">
        <v>0</v>
      </c>
      <c r="O49" s="217" t="s">
        <v>875</v>
      </c>
      <c r="P49" s="217" t="s">
        <v>875</v>
      </c>
      <c r="Q49" s="328" t="s">
        <v>37</v>
      </c>
      <c r="R49" s="328" t="s">
        <v>37</v>
      </c>
      <c r="S49" s="328" t="s">
        <v>37</v>
      </c>
      <c r="T49" s="328" t="s">
        <v>875</v>
      </c>
      <c r="U49" s="328" t="s">
        <v>875</v>
      </c>
      <c r="V49" s="328" t="s">
        <v>875</v>
      </c>
      <c r="W49" s="328" t="s">
        <v>875</v>
      </c>
      <c r="X49" s="328" t="s">
        <v>875</v>
      </c>
      <c r="Y49" s="234">
        <v>45736</v>
      </c>
      <c r="Z49" s="246">
        <v>45777</v>
      </c>
      <c r="AA49" s="241" t="s">
        <v>37</v>
      </c>
      <c r="AB49" s="246">
        <v>45819</v>
      </c>
      <c r="AC49" s="266" t="s">
        <v>316</v>
      </c>
      <c r="AD49" s="246">
        <v>45924</v>
      </c>
      <c r="AE49" s="169" t="s">
        <v>316</v>
      </c>
      <c r="AF49" s="256">
        <v>46015</v>
      </c>
      <c r="AG49" s="247"/>
      <c r="AH49" s="25">
        <v>46106</v>
      </c>
      <c r="AI49" s="23"/>
      <c r="AJ49" s="261"/>
      <c r="AK49" s="23"/>
      <c r="AL49" s="261"/>
      <c r="AM49" s="23"/>
      <c r="AN49" s="261"/>
      <c r="AO49" s="23"/>
      <c r="AP49" s="261"/>
      <c r="AQ49" s="23"/>
      <c r="AR49" s="261"/>
      <c r="AS49" s="23"/>
      <c r="AT49" s="261"/>
      <c r="AU49" s="262"/>
      <c r="AV49" s="338">
        <v>46106</v>
      </c>
      <c r="AW49" t="s">
        <v>460</v>
      </c>
    </row>
    <row r="50" spans="1:49" x14ac:dyDescent="0.35">
      <c r="A50" s="204" t="s">
        <v>357</v>
      </c>
      <c r="B50" s="204" t="s">
        <v>358</v>
      </c>
      <c r="C50" s="236">
        <v>2005845</v>
      </c>
      <c r="D50" s="210" t="s">
        <v>368</v>
      </c>
      <c r="E50" s="380"/>
      <c r="F50" s="213" t="s">
        <v>297</v>
      </c>
      <c r="G50" s="212" t="s">
        <v>875</v>
      </c>
      <c r="H50" s="212" t="s">
        <v>875</v>
      </c>
      <c r="I50" s="336">
        <v>0</v>
      </c>
      <c r="J50" s="336">
        <v>0</v>
      </c>
      <c r="K50" s="336">
        <v>0</v>
      </c>
      <c r="L50" s="217" t="s">
        <v>875</v>
      </c>
      <c r="M50" s="178">
        <v>0</v>
      </c>
      <c r="N50" s="178">
        <v>0</v>
      </c>
      <c r="O50" s="178" t="s">
        <v>875</v>
      </c>
      <c r="P50" s="178" t="s">
        <v>875</v>
      </c>
      <c r="Q50" s="339">
        <v>245</v>
      </c>
      <c r="R50" s="340">
        <v>95</v>
      </c>
      <c r="S50" s="178" t="s">
        <v>875</v>
      </c>
      <c r="T50" s="178" t="s">
        <v>875</v>
      </c>
      <c r="U50" s="178" t="s">
        <v>875</v>
      </c>
      <c r="V50" s="178" t="s">
        <v>875</v>
      </c>
      <c r="W50" s="178" t="s">
        <v>875</v>
      </c>
      <c r="X50" s="178" t="s">
        <v>875</v>
      </c>
      <c r="Y50" s="234">
        <v>45882</v>
      </c>
      <c r="Z50" s="246">
        <v>45911</v>
      </c>
      <c r="AA50" s="241" t="s">
        <v>37</v>
      </c>
      <c r="AB50" s="246">
        <v>45938</v>
      </c>
      <c r="AC50" s="266" t="s">
        <v>316</v>
      </c>
      <c r="AD50" s="246">
        <v>46036</v>
      </c>
      <c r="AE50" s="169" t="s">
        <v>316</v>
      </c>
      <c r="AF50" s="23"/>
      <c r="AG50" s="262"/>
      <c r="AH50" s="23"/>
      <c r="AI50" s="23"/>
      <c r="AJ50" s="261"/>
      <c r="AK50" s="23"/>
      <c r="AL50" s="261"/>
      <c r="AM50" s="23"/>
      <c r="AN50" s="261"/>
      <c r="AO50" s="23"/>
      <c r="AP50" s="261"/>
      <c r="AQ50" s="23"/>
      <c r="AR50" s="261"/>
      <c r="AS50" s="23"/>
      <c r="AT50" s="261"/>
      <c r="AU50" s="262"/>
      <c r="AV50" s="338">
        <v>46036</v>
      </c>
      <c r="AW50" t="s">
        <v>460</v>
      </c>
    </row>
    <row r="51" spans="1:49" x14ac:dyDescent="0.35">
      <c r="A51" s="204" t="s">
        <v>359</v>
      </c>
      <c r="B51" s="204" t="s">
        <v>360</v>
      </c>
      <c r="C51" s="236">
        <v>1005835</v>
      </c>
      <c r="D51" s="210" t="s">
        <v>369</v>
      </c>
      <c r="E51" s="380"/>
      <c r="F51" s="213" t="s">
        <v>297</v>
      </c>
      <c r="G51" s="212" t="s">
        <v>875</v>
      </c>
      <c r="H51" s="212" t="s">
        <v>875</v>
      </c>
      <c r="I51" s="336" t="s">
        <v>441</v>
      </c>
      <c r="J51" s="336">
        <v>0</v>
      </c>
      <c r="K51" s="336">
        <v>0</v>
      </c>
      <c r="L51" s="217" t="s">
        <v>875</v>
      </c>
      <c r="M51" s="178">
        <v>0</v>
      </c>
      <c r="N51" s="178">
        <v>0</v>
      </c>
      <c r="O51" s="178" t="s">
        <v>875</v>
      </c>
      <c r="P51" s="178" t="s">
        <v>875</v>
      </c>
      <c r="Q51" s="339">
        <v>290</v>
      </c>
      <c r="R51" s="340">
        <v>12.5</v>
      </c>
      <c r="S51" s="178" t="s">
        <v>875</v>
      </c>
      <c r="T51" s="178" t="s">
        <v>875</v>
      </c>
      <c r="U51" s="178" t="s">
        <v>875</v>
      </c>
      <c r="V51" s="178" t="s">
        <v>875</v>
      </c>
      <c r="W51" s="178" t="s">
        <v>875</v>
      </c>
      <c r="X51" s="178" t="s">
        <v>875</v>
      </c>
      <c r="Y51" s="234">
        <v>45903</v>
      </c>
      <c r="Z51" s="246">
        <v>45947</v>
      </c>
      <c r="AA51" s="241" t="s">
        <v>37</v>
      </c>
      <c r="AB51" s="246">
        <v>45982</v>
      </c>
      <c r="AC51" s="266" t="s">
        <v>316</v>
      </c>
      <c r="AD51" s="246">
        <v>46072</v>
      </c>
      <c r="AE51" s="169" t="s">
        <v>316</v>
      </c>
      <c r="AF51" s="23"/>
      <c r="AG51" s="262"/>
      <c r="AH51" s="23"/>
      <c r="AI51" s="23"/>
      <c r="AJ51" s="261"/>
      <c r="AK51" s="23"/>
      <c r="AL51" s="261"/>
      <c r="AM51" s="23"/>
      <c r="AN51" s="261"/>
      <c r="AO51" s="23"/>
      <c r="AP51" s="261"/>
      <c r="AQ51" s="23"/>
      <c r="AR51" s="261"/>
      <c r="AS51" s="23"/>
      <c r="AT51" s="261"/>
      <c r="AU51" s="262"/>
      <c r="AV51" s="246">
        <v>46072</v>
      </c>
      <c r="AW51" t="s">
        <v>460</v>
      </c>
    </row>
    <row r="52" spans="1:49" x14ac:dyDescent="0.35">
      <c r="A52" s="204" t="s">
        <v>361</v>
      </c>
      <c r="B52" s="204" t="s">
        <v>362</v>
      </c>
      <c r="C52" s="236">
        <v>2507863</v>
      </c>
      <c r="D52" s="210" t="s">
        <v>370</v>
      </c>
      <c r="E52" s="380"/>
      <c r="F52" s="213" t="s">
        <v>297</v>
      </c>
      <c r="G52" s="212" t="s">
        <v>875</v>
      </c>
      <c r="H52" s="212" t="s">
        <v>875</v>
      </c>
      <c r="I52" s="336" t="s">
        <v>442</v>
      </c>
      <c r="J52" s="336">
        <v>0</v>
      </c>
      <c r="K52" s="336">
        <v>0</v>
      </c>
      <c r="L52" s="217" t="s">
        <v>875</v>
      </c>
      <c r="M52" s="178">
        <v>1</v>
      </c>
      <c r="N52" s="178">
        <v>0</v>
      </c>
      <c r="O52" s="178" t="s">
        <v>875</v>
      </c>
      <c r="P52" s="178" t="s">
        <v>875</v>
      </c>
      <c r="Q52" s="339">
        <v>250</v>
      </c>
      <c r="R52" s="340">
        <v>10</v>
      </c>
      <c r="S52" s="178" t="s">
        <v>875</v>
      </c>
      <c r="T52" s="178" t="s">
        <v>875</v>
      </c>
      <c r="U52" s="178" t="s">
        <v>875</v>
      </c>
      <c r="V52" s="178" t="s">
        <v>875</v>
      </c>
      <c r="W52" s="178" t="s">
        <v>875</v>
      </c>
      <c r="X52" s="178" t="s">
        <v>875</v>
      </c>
      <c r="Y52" s="234">
        <v>45905</v>
      </c>
      <c r="Z52" s="246">
        <v>45938</v>
      </c>
      <c r="AA52" s="241" t="s">
        <v>37</v>
      </c>
      <c r="AB52" s="246">
        <v>45968</v>
      </c>
      <c r="AC52" s="266" t="s">
        <v>316</v>
      </c>
      <c r="AD52" s="246">
        <v>46064</v>
      </c>
      <c r="AE52" s="169" t="s">
        <v>316</v>
      </c>
      <c r="AF52" s="23"/>
      <c r="AG52" s="262"/>
      <c r="AH52" s="23"/>
      <c r="AI52" s="23"/>
      <c r="AJ52" s="261"/>
      <c r="AK52" s="23"/>
      <c r="AL52" s="261"/>
      <c r="AM52" s="23"/>
      <c r="AN52" s="261"/>
      <c r="AO52" s="23"/>
      <c r="AP52" s="261"/>
      <c r="AQ52" s="23"/>
      <c r="AR52" s="261"/>
      <c r="AS52" s="23"/>
      <c r="AT52" s="261"/>
      <c r="AU52" s="262"/>
      <c r="AV52" s="246">
        <v>46064</v>
      </c>
      <c r="AW52" t="s">
        <v>460</v>
      </c>
    </row>
    <row r="53" spans="1:49" x14ac:dyDescent="0.35">
      <c r="A53" s="204" t="s">
        <v>385</v>
      </c>
      <c r="B53" s="204" t="s">
        <v>363</v>
      </c>
      <c r="C53" s="236">
        <v>2509379</v>
      </c>
      <c r="D53" s="210" t="s">
        <v>371</v>
      </c>
      <c r="E53" s="380"/>
      <c r="F53" s="213" t="s">
        <v>298</v>
      </c>
      <c r="G53" s="212" t="s">
        <v>37</v>
      </c>
      <c r="H53" s="212" t="s">
        <v>37</v>
      </c>
      <c r="I53" s="336" t="s">
        <v>443</v>
      </c>
      <c r="J53" s="336" t="s">
        <v>444</v>
      </c>
      <c r="K53" s="336" t="s">
        <v>446</v>
      </c>
      <c r="L53" s="336" t="s">
        <v>447</v>
      </c>
      <c r="M53" s="324">
        <v>11460</v>
      </c>
      <c r="N53" s="178">
        <v>0</v>
      </c>
      <c r="O53" s="178" t="s">
        <v>875</v>
      </c>
      <c r="P53" s="178" t="s">
        <v>875</v>
      </c>
      <c r="Q53" s="341" t="s">
        <v>37</v>
      </c>
      <c r="R53" s="341" t="s">
        <v>37</v>
      </c>
      <c r="S53" s="178" t="s">
        <v>875</v>
      </c>
      <c r="T53" s="178" t="s">
        <v>875</v>
      </c>
      <c r="U53" s="178" t="s">
        <v>875</v>
      </c>
      <c r="V53" s="178" t="s">
        <v>875</v>
      </c>
      <c r="W53" s="178" t="s">
        <v>875</v>
      </c>
      <c r="X53" s="178" t="s">
        <v>875</v>
      </c>
      <c r="Y53" s="234">
        <v>45918</v>
      </c>
      <c r="Z53" s="246">
        <v>45945</v>
      </c>
      <c r="AA53" s="241" t="s">
        <v>37</v>
      </c>
      <c r="AB53" s="246">
        <v>45980</v>
      </c>
      <c r="AC53" s="266" t="s">
        <v>316</v>
      </c>
      <c r="AD53" s="335">
        <v>46064</v>
      </c>
      <c r="AE53" s="196" t="s">
        <v>289</v>
      </c>
      <c r="AF53" s="23"/>
      <c r="AG53" s="262"/>
      <c r="AH53" s="23"/>
      <c r="AI53" s="23"/>
      <c r="AJ53" s="261"/>
      <c r="AK53" s="23"/>
      <c r="AL53" s="261"/>
      <c r="AM53" s="23"/>
      <c r="AN53" s="261"/>
      <c r="AO53" s="23"/>
      <c r="AP53" s="261"/>
      <c r="AQ53" s="23"/>
      <c r="AR53" s="261"/>
      <c r="AS53" s="23"/>
      <c r="AT53" s="261"/>
      <c r="AU53" s="262"/>
      <c r="AV53" s="338">
        <v>46080</v>
      </c>
      <c r="AW53" t="s">
        <v>460</v>
      </c>
    </row>
    <row r="54" spans="1:49" x14ac:dyDescent="0.35">
      <c r="A54" s="204" t="s">
        <v>364</v>
      </c>
      <c r="B54" s="204" t="s">
        <v>885</v>
      </c>
      <c r="C54" s="236">
        <v>2508974</v>
      </c>
      <c r="D54" s="210" t="s">
        <v>372</v>
      </c>
      <c r="E54" s="380"/>
      <c r="F54" s="213" t="s">
        <v>297</v>
      </c>
      <c r="G54" s="212" t="s">
        <v>875</v>
      </c>
      <c r="H54" s="212" t="s">
        <v>875</v>
      </c>
      <c r="I54" s="336" t="s">
        <v>448</v>
      </c>
      <c r="J54" s="336">
        <v>0</v>
      </c>
      <c r="K54" s="336">
        <v>0</v>
      </c>
      <c r="L54" s="336" t="s">
        <v>875</v>
      </c>
      <c r="M54" s="178">
        <v>0</v>
      </c>
      <c r="N54" s="178">
        <v>0</v>
      </c>
      <c r="O54" s="178" t="s">
        <v>875</v>
      </c>
      <c r="P54" s="178" t="s">
        <v>875</v>
      </c>
      <c r="Q54" s="339">
        <v>260</v>
      </c>
      <c r="R54" s="340">
        <v>5</v>
      </c>
      <c r="S54" s="178" t="s">
        <v>875</v>
      </c>
      <c r="T54" s="178" t="s">
        <v>875</v>
      </c>
      <c r="U54" s="178" t="s">
        <v>875</v>
      </c>
      <c r="V54" s="178" t="s">
        <v>875</v>
      </c>
      <c r="W54" s="178" t="s">
        <v>875</v>
      </c>
      <c r="X54" s="178" t="s">
        <v>875</v>
      </c>
      <c r="Y54" s="234">
        <v>45974</v>
      </c>
      <c r="Z54" s="246">
        <v>46008</v>
      </c>
      <c r="AA54" s="241" t="s">
        <v>37</v>
      </c>
      <c r="AB54" s="246">
        <v>46043</v>
      </c>
      <c r="AC54" s="266" t="s">
        <v>316</v>
      </c>
      <c r="AV54" s="246">
        <v>46043</v>
      </c>
      <c r="AW54" t="s">
        <v>460</v>
      </c>
    </row>
    <row r="55" spans="1:49" x14ac:dyDescent="0.35">
      <c r="A55" s="204" t="s">
        <v>365</v>
      </c>
      <c r="B55" s="204" t="s">
        <v>251</v>
      </c>
      <c r="C55" s="236">
        <v>2511101</v>
      </c>
      <c r="D55" s="210" t="s">
        <v>373</v>
      </c>
      <c r="E55" s="380"/>
      <c r="F55" s="213" t="s">
        <v>300</v>
      </c>
      <c r="G55" s="212" t="s">
        <v>875</v>
      </c>
      <c r="H55" s="212" t="s">
        <v>875</v>
      </c>
      <c r="I55" s="336" t="s">
        <v>449</v>
      </c>
      <c r="J55" s="336" t="s">
        <v>445</v>
      </c>
      <c r="K55" s="336" t="s">
        <v>450</v>
      </c>
      <c r="L55" s="336" t="s">
        <v>875</v>
      </c>
      <c r="M55" s="178">
        <v>1</v>
      </c>
      <c r="N55" s="178">
        <v>0</v>
      </c>
      <c r="O55" s="178" t="s">
        <v>875</v>
      </c>
      <c r="P55" s="178" t="s">
        <v>875</v>
      </c>
      <c r="Q55" s="339">
        <v>100</v>
      </c>
      <c r="R55" s="340">
        <v>35</v>
      </c>
      <c r="S55" s="178" t="s">
        <v>875</v>
      </c>
      <c r="T55" s="178" t="s">
        <v>875</v>
      </c>
      <c r="U55" s="178" t="s">
        <v>875</v>
      </c>
      <c r="V55" s="178" t="s">
        <v>875</v>
      </c>
      <c r="W55" s="178" t="s">
        <v>875</v>
      </c>
      <c r="X55" s="178" t="s">
        <v>875</v>
      </c>
      <c r="Y55" s="234">
        <v>46001</v>
      </c>
      <c r="Z55" s="246">
        <v>46036</v>
      </c>
      <c r="AA55" s="241" t="s">
        <v>37</v>
      </c>
      <c r="AB55" s="246">
        <v>46065</v>
      </c>
      <c r="AC55" s="266" t="s">
        <v>316</v>
      </c>
      <c r="AV55" s="246">
        <v>46065</v>
      </c>
      <c r="AW55" t="s">
        <v>460</v>
      </c>
    </row>
    <row r="56" spans="1:49" x14ac:dyDescent="0.35">
      <c r="A56" s="204" t="s">
        <v>366</v>
      </c>
      <c r="B56" s="204" t="s">
        <v>367</v>
      </c>
      <c r="C56" s="231">
        <v>2513133</v>
      </c>
      <c r="D56" s="210" t="s">
        <v>374</v>
      </c>
      <c r="E56" s="380"/>
      <c r="F56" s="213" t="s">
        <v>298</v>
      </c>
      <c r="G56" s="212" t="s">
        <v>875</v>
      </c>
      <c r="H56" s="212" t="s">
        <v>875</v>
      </c>
      <c r="I56" s="336" t="s">
        <v>451</v>
      </c>
      <c r="J56" s="336">
        <v>0</v>
      </c>
      <c r="K56" s="336">
        <v>0</v>
      </c>
      <c r="L56" s="336" t="s">
        <v>875</v>
      </c>
      <c r="M56" s="178">
        <v>0</v>
      </c>
      <c r="N56" s="178">
        <v>0</v>
      </c>
      <c r="O56" s="178" t="s">
        <v>875</v>
      </c>
      <c r="P56" s="178" t="s">
        <v>875</v>
      </c>
      <c r="Q56" s="339">
        <v>262</v>
      </c>
      <c r="R56" s="340">
        <v>10</v>
      </c>
      <c r="S56" s="178" t="s">
        <v>875</v>
      </c>
      <c r="T56" s="178" t="s">
        <v>875</v>
      </c>
      <c r="U56" s="178" t="s">
        <v>875</v>
      </c>
      <c r="V56" s="178" t="s">
        <v>875</v>
      </c>
      <c r="W56" s="178" t="s">
        <v>875</v>
      </c>
      <c r="X56" s="178" t="s">
        <v>875</v>
      </c>
      <c r="Y56" s="234">
        <v>46037</v>
      </c>
      <c r="Z56" s="246">
        <v>46063</v>
      </c>
      <c r="AA56" s="241" t="s">
        <v>37</v>
      </c>
      <c r="AB56" s="246">
        <v>46091</v>
      </c>
      <c r="AC56" s="266" t="s">
        <v>316</v>
      </c>
      <c r="AV56" s="246">
        <v>46091</v>
      </c>
      <c r="AW56" t="s">
        <v>460</v>
      </c>
    </row>
    <row r="58" spans="1:49" x14ac:dyDescent="0.35">
      <c r="C58" s="6" t="s">
        <v>294</v>
      </c>
      <c r="D58" s="166"/>
      <c r="E58" s="166"/>
    </row>
    <row r="59" spans="1:49" x14ac:dyDescent="0.35">
      <c r="C59" s="199" t="s">
        <v>291</v>
      </c>
      <c r="D59" s="166"/>
      <c r="E59" s="166"/>
    </row>
    <row r="60" spans="1:49" x14ac:dyDescent="0.35">
      <c r="C60" s="248"/>
      <c r="D60" t="s">
        <v>353</v>
      </c>
    </row>
    <row r="61" spans="1:49" x14ac:dyDescent="0.35">
      <c r="C61" s="289"/>
      <c r="D61" t="s">
        <v>354</v>
      </c>
    </row>
    <row r="62" spans="1:49" ht="15" thickBot="1" x14ac:dyDescent="0.4">
      <c r="D62" s="167"/>
      <c r="E62" s="167"/>
    </row>
    <row r="63" spans="1:49" ht="31" x14ac:dyDescent="0.35">
      <c r="A63" s="224" t="s">
        <v>378</v>
      </c>
      <c r="B63" s="249" t="s">
        <v>377</v>
      </c>
    </row>
    <row r="64" spans="1:49" ht="15.5" x14ac:dyDescent="0.35">
      <c r="A64" s="225"/>
      <c r="B64" s="202" t="s">
        <v>379</v>
      </c>
    </row>
    <row r="65" spans="1:9" ht="15.5" x14ac:dyDescent="0.35">
      <c r="A65" s="225"/>
      <c r="B65" s="202" t="s">
        <v>376</v>
      </c>
    </row>
    <row r="66" spans="1:9" ht="16" thickBot="1" x14ac:dyDescent="0.4">
      <c r="A66" s="226"/>
      <c r="B66" s="203" t="s">
        <v>352</v>
      </c>
    </row>
    <row r="69" spans="1:9" x14ac:dyDescent="0.35">
      <c r="A69" s="309" t="s">
        <v>380</v>
      </c>
    </row>
    <row r="70" spans="1:9" x14ac:dyDescent="0.35">
      <c r="A70" s="166" t="s">
        <v>381</v>
      </c>
      <c r="D70" t="s">
        <v>390</v>
      </c>
      <c r="F70" s="178" t="s">
        <v>437</v>
      </c>
    </row>
    <row r="71" spans="1:9" x14ac:dyDescent="0.35">
      <c r="A71" s="166" t="s">
        <v>382</v>
      </c>
      <c r="D71" t="s">
        <v>37</v>
      </c>
      <c r="F71" s="178" t="s">
        <v>37</v>
      </c>
    </row>
    <row r="72" spans="1:9" x14ac:dyDescent="0.35">
      <c r="A72" s="166" t="s">
        <v>383</v>
      </c>
      <c r="D72" t="s">
        <v>390</v>
      </c>
      <c r="F72" s="178" t="s">
        <v>437</v>
      </c>
    </row>
    <row r="73" spans="1:9" x14ac:dyDescent="0.35">
      <c r="A73" s="166" t="s">
        <v>384</v>
      </c>
      <c r="D73" t="s">
        <v>390</v>
      </c>
      <c r="F73" s="178" t="s">
        <v>437</v>
      </c>
    </row>
    <row r="74" spans="1:9" x14ac:dyDescent="0.35">
      <c r="A74" s="166" t="s">
        <v>386</v>
      </c>
      <c r="D74" t="s">
        <v>390</v>
      </c>
    </row>
    <row r="75" spans="1:9" x14ac:dyDescent="0.35">
      <c r="A75" s="166" t="s">
        <v>387</v>
      </c>
      <c r="D75" t="s">
        <v>37</v>
      </c>
      <c r="F75" s="178" t="s">
        <v>37</v>
      </c>
    </row>
    <row r="76" spans="1:9" x14ac:dyDescent="0.35">
      <c r="I76" s="319"/>
    </row>
    <row r="77" spans="1:9" x14ac:dyDescent="0.35">
      <c r="A77" s="309" t="s">
        <v>388</v>
      </c>
    </row>
    <row r="78" spans="1:9" x14ac:dyDescent="0.35">
      <c r="A78" s="166" t="s">
        <v>389</v>
      </c>
      <c r="D78" t="s">
        <v>37</v>
      </c>
    </row>
  </sheetData>
  <mergeCells count="42">
    <mergeCell ref="AF41:AU41"/>
    <mergeCell ref="AH46:AU46"/>
    <mergeCell ref="AH47:AU47"/>
    <mergeCell ref="AD39:AU39"/>
    <mergeCell ref="AH38:AU38"/>
    <mergeCell ref="AH29:AU29"/>
    <mergeCell ref="AR22:AU22"/>
    <mergeCell ref="AH25:AU25"/>
    <mergeCell ref="AF37:AU37"/>
    <mergeCell ref="AF36:AU36"/>
    <mergeCell ref="AH35:AU35"/>
    <mergeCell ref="AF34:AU34"/>
    <mergeCell ref="AD33:AU33"/>
    <mergeCell ref="AN27:AU27"/>
    <mergeCell ref="AH28:AU28"/>
    <mergeCell ref="AF19:AU19"/>
    <mergeCell ref="AT1:AU1"/>
    <mergeCell ref="AJ4:AU4"/>
    <mergeCell ref="AH5:AU5"/>
    <mergeCell ref="AF6:AU6"/>
    <mergeCell ref="AT7:AU7"/>
    <mergeCell ref="AH10:AU10"/>
    <mergeCell ref="AP11:AU11"/>
    <mergeCell ref="AP17:AU17"/>
    <mergeCell ref="AR1:AS1"/>
    <mergeCell ref="AJ16:AU16"/>
    <mergeCell ref="AF14:AU14"/>
    <mergeCell ref="AR15:AU15"/>
    <mergeCell ref="AN1:AO1"/>
    <mergeCell ref="AP1:AQ1"/>
    <mergeCell ref="AF1:AG1"/>
    <mergeCell ref="AH1:AI1"/>
    <mergeCell ref="AL1:AM1"/>
    <mergeCell ref="AJ1:AK1"/>
    <mergeCell ref="A1:A2"/>
    <mergeCell ref="B1:B2"/>
    <mergeCell ref="C1:C2"/>
    <mergeCell ref="D1:D2"/>
    <mergeCell ref="AD1:AE1"/>
    <mergeCell ref="Y1:Y2"/>
    <mergeCell ref="AB1:AC1"/>
    <mergeCell ref="Z1:AA1"/>
  </mergeCells>
  <phoneticPr fontId="63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G58"/>
  <sheetViews>
    <sheetView topLeftCell="AI1" zoomScale="85" zoomScaleNormal="85" workbookViewId="0">
      <selection activeCell="E1" sqref="A1:XFD26"/>
    </sheetView>
  </sheetViews>
  <sheetFormatPr baseColWidth="10" defaultRowHeight="14.5" x14ac:dyDescent="0.35"/>
  <sheetData>
    <row r="1" spans="1:56" s="193" customFormat="1" ht="18" customHeight="1" thickBot="1" x14ac:dyDescent="0.4">
      <c r="A1" s="434" t="s">
        <v>0</v>
      </c>
      <c r="B1" s="436" t="s">
        <v>1</v>
      </c>
      <c r="C1" s="436" t="s">
        <v>38</v>
      </c>
      <c r="D1" s="438" t="s">
        <v>40</v>
      </c>
      <c r="E1" s="377"/>
      <c r="G1" s="250"/>
      <c r="H1" s="250"/>
      <c r="I1" s="250"/>
      <c r="J1" s="250"/>
      <c r="O1" s="323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440" t="s">
        <v>285</v>
      </c>
      <c r="AB1" s="432" t="s">
        <v>295</v>
      </c>
      <c r="AC1" s="433"/>
      <c r="AD1" s="432" t="s">
        <v>284</v>
      </c>
      <c r="AE1" s="433"/>
      <c r="AF1" s="432" t="s">
        <v>147</v>
      </c>
      <c r="AG1" s="433"/>
      <c r="AH1" s="432" t="s">
        <v>154</v>
      </c>
      <c r="AI1" s="433"/>
      <c r="AJ1" s="432" t="s">
        <v>290</v>
      </c>
      <c r="AK1" s="433"/>
      <c r="AL1" s="432" t="s">
        <v>296</v>
      </c>
      <c r="AM1" s="433"/>
      <c r="AN1" s="432" t="s">
        <v>190</v>
      </c>
      <c r="AO1" s="433"/>
      <c r="AP1" s="432" t="s">
        <v>94</v>
      </c>
      <c r="AQ1" s="433"/>
      <c r="AR1" s="432" t="s">
        <v>95</v>
      </c>
      <c r="AS1" s="433"/>
      <c r="AT1" s="432" t="s">
        <v>355</v>
      </c>
      <c r="AU1" s="433"/>
      <c r="AV1" s="432" t="s">
        <v>356</v>
      </c>
      <c r="AW1" s="433"/>
      <c r="AX1" s="337" t="s">
        <v>459</v>
      </c>
      <c r="AY1" s="337" t="s">
        <v>458</v>
      </c>
      <c r="BA1" s="193" t="s">
        <v>906</v>
      </c>
      <c r="BD1" s="193" t="s">
        <v>909</v>
      </c>
    </row>
    <row r="2" spans="1:56" s="184" customFormat="1" ht="62.5" thickBot="1" x14ac:dyDescent="0.4">
      <c r="A2" s="435"/>
      <c r="B2" s="437"/>
      <c r="C2" s="437"/>
      <c r="D2" s="439"/>
      <c r="E2" s="378" t="s">
        <v>886</v>
      </c>
      <c r="F2" s="250" t="s">
        <v>145</v>
      </c>
      <c r="G2" s="251" t="s">
        <v>881</v>
      </c>
      <c r="H2" s="251" t="s">
        <v>547</v>
      </c>
      <c r="I2" s="251" t="s">
        <v>900</v>
      </c>
      <c r="J2" s="251" t="s">
        <v>507</v>
      </c>
      <c r="K2" s="314" t="s">
        <v>391</v>
      </c>
      <c r="L2" s="314" t="s">
        <v>408</v>
      </c>
      <c r="M2" s="314" t="s">
        <v>417</v>
      </c>
      <c r="N2" s="314" t="s">
        <v>418</v>
      </c>
      <c r="O2" s="323" t="s">
        <v>426</v>
      </c>
      <c r="P2" s="323" t="s">
        <v>427</v>
      </c>
      <c r="Q2" s="323" t="s">
        <v>428</v>
      </c>
      <c r="R2" s="323" t="s">
        <v>429</v>
      </c>
      <c r="S2" s="326" t="s">
        <v>430</v>
      </c>
      <c r="T2" s="326" t="s">
        <v>431</v>
      </c>
      <c r="U2" s="326" t="s">
        <v>432</v>
      </c>
      <c r="V2" s="326" t="s">
        <v>433</v>
      </c>
      <c r="W2" s="326" t="s">
        <v>434</v>
      </c>
      <c r="X2" s="333" t="s">
        <v>435</v>
      </c>
      <c r="Y2" s="333" t="s">
        <v>452</v>
      </c>
      <c r="Z2" s="333" t="s">
        <v>436</v>
      </c>
      <c r="AA2" s="441"/>
      <c r="AB2" s="189" t="s">
        <v>287</v>
      </c>
      <c r="AC2" s="188" t="s">
        <v>288</v>
      </c>
      <c r="AD2" s="189" t="s">
        <v>287</v>
      </c>
      <c r="AE2" s="244" t="s">
        <v>288</v>
      </c>
      <c r="AF2" s="187" t="s">
        <v>287</v>
      </c>
      <c r="AG2" s="188" t="s">
        <v>288</v>
      </c>
      <c r="AH2" s="194" t="s">
        <v>287</v>
      </c>
      <c r="AI2" s="188" t="s">
        <v>288</v>
      </c>
      <c r="AJ2" s="194" t="s">
        <v>287</v>
      </c>
      <c r="AK2" s="244" t="s">
        <v>288</v>
      </c>
      <c r="AL2" s="187" t="s">
        <v>287</v>
      </c>
      <c r="AM2" s="244" t="s">
        <v>288</v>
      </c>
      <c r="AN2" s="187" t="s">
        <v>287</v>
      </c>
      <c r="AO2" s="244" t="s">
        <v>288</v>
      </c>
      <c r="AP2" s="187" t="s">
        <v>287</v>
      </c>
      <c r="AQ2" s="244" t="s">
        <v>288</v>
      </c>
      <c r="AR2" s="185"/>
      <c r="AS2" s="274"/>
      <c r="AT2" s="185"/>
      <c r="AU2" s="274"/>
      <c r="AV2" s="185"/>
      <c r="AW2" s="186"/>
    </row>
    <row r="3" spans="1:56" x14ac:dyDescent="0.35">
      <c r="A3" s="172" t="s">
        <v>149</v>
      </c>
      <c r="B3" s="173" t="s">
        <v>150</v>
      </c>
      <c r="C3" s="201" t="s">
        <v>151</v>
      </c>
      <c r="D3" s="210" t="s">
        <v>152</v>
      </c>
      <c r="E3" s="380" t="s">
        <v>887</v>
      </c>
      <c r="F3" s="214" t="s">
        <v>299</v>
      </c>
      <c r="G3" s="212" t="s">
        <v>882</v>
      </c>
      <c r="H3" s="212" t="s">
        <v>882</v>
      </c>
      <c r="I3" s="212" t="s">
        <v>882</v>
      </c>
      <c r="J3" s="212" t="s">
        <v>37</v>
      </c>
      <c r="K3" s="315">
        <v>140</v>
      </c>
      <c r="L3" s="315">
        <v>9.4</v>
      </c>
      <c r="M3" s="315">
        <v>0</v>
      </c>
      <c r="N3" s="315">
        <v>2459.6999999999998</v>
      </c>
      <c r="O3" s="324">
        <v>0</v>
      </c>
      <c r="P3" s="324">
        <v>0</v>
      </c>
      <c r="Q3" s="324">
        <v>0</v>
      </c>
      <c r="R3" s="324">
        <v>0</v>
      </c>
      <c r="S3" s="328" t="s">
        <v>37</v>
      </c>
      <c r="T3" s="328" t="s">
        <v>37</v>
      </c>
      <c r="U3" s="328" t="s">
        <v>37</v>
      </c>
      <c r="V3" s="341" t="s">
        <v>37</v>
      </c>
      <c r="W3" s="341" t="s">
        <v>37</v>
      </c>
      <c r="X3" s="328" t="s">
        <v>466</v>
      </c>
      <c r="Y3" s="328" t="s">
        <v>467</v>
      </c>
      <c r="Z3" s="328" t="s">
        <v>468</v>
      </c>
      <c r="AA3" s="217" t="s">
        <v>170</v>
      </c>
      <c r="AB3" s="175" t="s">
        <v>153</v>
      </c>
      <c r="AC3" s="170" t="s">
        <v>37</v>
      </c>
      <c r="AD3" s="171">
        <v>45274</v>
      </c>
      <c r="AE3" s="243" t="s">
        <v>111</v>
      </c>
      <c r="AF3" s="177">
        <v>45344</v>
      </c>
      <c r="AG3" s="170" t="s">
        <v>111</v>
      </c>
      <c r="AH3" s="278">
        <v>45414</v>
      </c>
      <c r="AI3" s="196" t="s">
        <v>289</v>
      </c>
      <c r="AJ3" s="443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338">
        <v>45982</v>
      </c>
      <c r="AY3" t="s">
        <v>461</v>
      </c>
      <c r="BA3">
        <f>DATEDIF(AA3,AH3,"d")</f>
        <v>204</v>
      </c>
      <c r="BD3">
        <f>DATEDIF(AA3,AX3,"d")</f>
        <v>772</v>
      </c>
    </row>
    <row r="4" spans="1:56" x14ac:dyDescent="0.35">
      <c r="A4" s="172" t="s">
        <v>142</v>
      </c>
      <c r="B4" s="173" t="s">
        <v>143</v>
      </c>
      <c r="C4" s="201" t="s">
        <v>144</v>
      </c>
      <c r="D4" s="210" t="s">
        <v>172</v>
      </c>
      <c r="E4" s="380" t="s">
        <v>888</v>
      </c>
      <c r="F4" s="214" t="s">
        <v>299</v>
      </c>
      <c r="G4" s="212" t="s">
        <v>882</v>
      </c>
      <c r="H4" s="212" t="s">
        <v>882</v>
      </c>
      <c r="I4" s="212" t="s">
        <v>882</v>
      </c>
      <c r="J4" s="212" t="s">
        <v>37</v>
      </c>
      <c r="K4" s="315">
        <v>69.2</v>
      </c>
      <c r="L4" s="315">
        <v>0</v>
      </c>
      <c r="M4" s="315">
        <v>0</v>
      </c>
      <c r="N4" s="315">
        <v>16</v>
      </c>
      <c r="O4" s="324">
        <v>0</v>
      </c>
      <c r="P4" s="324">
        <v>0</v>
      </c>
      <c r="Q4" s="324">
        <v>0</v>
      </c>
      <c r="R4" s="324">
        <v>0</v>
      </c>
      <c r="S4" s="328">
        <v>200</v>
      </c>
      <c r="T4" s="328">
        <v>0</v>
      </c>
      <c r="U4" s="328">
        <v>200</v>
      </c>
      <c r="V4" s="341">
        <v>170</v>
      </c>
      <c r="W4" s="341">
        <v>35</v>
      </c>
      <c r="X4" s="328" t="s">
        <v>409</v>
      </c>
      <c r="Y4" s="328" t="s">
        <v>409</v>
      </c>
      <c r="Z4" s="328" t="s">
        <v>409</v>
      </c>
      <c r="AA4" s="217" t="s">
        <v>175</v>
      </c>
      <c r="AB4" s="175" t="s">
        <v>176</v>
      </c>
      <c r="AC4" s="170" t="s">
        <v>37</v>
      </c>
      <c r="AD4" s="171">
        <v>44930</v>
      </c>
      <c r="AE4" s="243" t="s">
        <v>191</v>
      </c>
      <c r="AF4" s="195">
        <v>45350</v>
      </c>
      <c r="AG4" s="196" t="s">
        <v>289</v>
      </c>
      <c r="AH4" s="442"/>
      <c r="AI4" s="442"/>
      <c r="AJ4" s="442"/>
      <c r="AK4" s="442"/>
      <c r="AL4" s="442"/>
      <c r="AM4" s="442"/>
      <c r="AN4" s="442"/>
      <c r="AO4" s="442"/>
      <c r="AP4" s="442"/>
      <c r="AQ4" s="442"/>
      <c r="AR4" s="442"/>
      <c r="AS4" s="442"/>
      <c r="AT4" s="445"/>
      <c r="AU4" s="445"/>
      <c r="AV4" s="445"/>
      <c r="AW4" s="445"/>
      <c r="AX4" s="338">
        <v>45408</v>
      </c>
      <c r="AY4" t="s">
        <v>461</v>
      </c>
      <c r="BA4">
        <f>DATEDIF(AA4,AF4,"d")</f>
        <v>118</v>
      </c>
      <c r="BD4">
        <f t="shared" ref="BD4:BD26" si="0">DATEDIF(AA4,AX4,"d")</f>
        <v>176</v>
      </c>
    </row>
    <row r="5" spans="1:56" x14ac:dyDescent="0.35">
      <c r="A5" s="172" t="s">
        <v>155</v>
      </c>
      <c r="B5" s="173" t="s">
        <v>116</v>
      </c>
      <c r="C5" s="201" t="s">
        <v>156</v>
      </c>
      <c r="D5" s="210" t="s">
        <v>173</v>
      </c>
      <c r="E5" s="380" t="s">
        <v>889</v>
      </c>
      <c r="F5" s="214" t="s">
        <v>299</v>
      </c>
      <c r="G5" s="375" t="s">
        <v>884</v>
      </c>
      <c r="H5" s="375" t="s">
        <v>884</v>
      </c>
      <c r="I5" s="375" t="s">
        <v>884</v>
      </c>
      <c r="J5" s="212" t="s">
        <v>37</v>
      </c>
      <c r="K5" s="315">
        <v>54</v>
      </c>
      <c r="L5" s="315">
        <v>0</v>
      </c>
      <c r="M5" s="315">
        <v>0</v>
      </c>
      <c r="N5" s="217" t="s">
        <v>37</v>
      </c>
      <c r="O5" s="324">
        <v>0</v>
      </c>
      <c r="P5" s="324">
        <v>0</v>
      </c>
      <c r="Q5" s="217" t="s">
        <v>37</v>
      </c>
      <c r="R5" s="217" t="s">
        <v>37</v>
      </c>
      <c r="S5" s="328">
        <v>55</v>
      </c>
      <c r="T5" s="328">
        <v>97.5</v>
      </c>
      <c r="U5" s="328">
        <v>0.5641025641025641</v>
      </c>
      <c r="V5" s="341" t="s">
        <v>37</v>
      </c>
      <c r="W5" s="341" t="s">
        <v>37</v>
      </c>
      <c r="X5" s="328" t="s">
        <v>409</v>
      </c>
      <c r="Y5" s="328" t="s">
        <v>409</v>
      </c>
      <c r="Z5" s="328" t="s">
        <v>409</v>
      </c>
      <c r="AA5" s="217" t="s">
        <v>175</v>
      </c>
      <c r="AB5" s="175" t="s">
        <v>189</v>
      </c>
      <c r="AC5" s="170" t="s">
        <v>37</v>
      </c>
      <c r="AD5" s="171">
        <v>45301</v>
      </c>
      <c r="AE5" s="243" t="s">
        <v>191</v>
      </c>
      <c r="AF5" s="171">
        <v>45357</v>
      </c>
      <c r="AG5" s="170" t="s">
        <v>191</v>
      </c>
      <c r="AH5" s="190">
        <v>45392</v>
      </c>
      <c r="AI5" s="170" t="s">
        <v>191</v>
      </c>
      <c r="AJ5" s="190">
        <v>45462</v>
      </c>
      <c r="AK5" s="243" t="s">
        <v>191</v>
      </c>
      <c r="AL5" s="220">
        <v>45514</v>
      </c>
      <c r="AM5" s="243" t="s">
        <v>191</v>
      </c>
      <c r="AN5" s="200">
        <v>45609</v>
      </c>
      <c r="AO5" s="243" t="s">
        <v>191</v>
      </c>
      <c r="AP5" s="200">
        <v>45686</v>
      </c>
      <c r="AQ5" s="254"/>
      <c r="AR5" s="307">
        <v>45795</v>
      </c>
      <c r="AS5" s="245" t="s">
        <v>375</v>
      </c>
      <c r="AT5" s="446"/>
      <c r="AU5" s="446"/>
      <c r="AV5" s="446"/>
      <c r="AW5" s="446"/>
      <c r="AX5" s="338">
        <v>45795</v>
      </c>
      <c r="AY5" t="s">
        <v>461</v>
      </c>
      <c r="BA5">
        <f>DATEDIF(AA5,AR5,"d")</f>
        <v>563</v>
      </c>
      <c r="BD5">
        <f t="shared" si="0"/>
        <v>563</v>
      </c>
    </row>
    <row r="6" spans="1:56" x14ac:dyDescent="0.35">
      <c r="A6" s="172" t="s">
        <v>182</v>
      </c>
      <c r="B6" s="173" t="s">
        <v>183</v>
      </c>
      <c r="C6" s="201" t="s">
        <v>184</v>
      </c>
      <c r="D6" s="210" t="s">
        <v>181</v>
      </c>
      <c r="E6" s="380" t="s">
        <v>889</v>
      </c>
      <c r="F6" s="214" t="s">
        <v>299</v>
      </c>
      <c r="G6" s="212" t="s">
        <v>882</v>
      </c>
      <c r="H6" s="212" t="s">
        <v>883</v>
      </c>
      <c r="I6" s="212" t="s">
        <v>882</v>
      </c>
      <c r="J6" s="212" t="s">
        <v>816</v>
      </c>
      <c r="K6" s="315">
        <v>0</v>
      </c>
      <c r="L6" s="315">
        <v>0</v>
      </c>
      <c r="M6" s="315">
        <v>0</v>
      </c>
      <c r="N6" s="217" t="s">
        <v>439</v>
      </c>
      <c r="O6" s="324">
        <v>0</v>
      </c>
      <c r="P6" s="324">
        <v>0</v>
      </c>
      <c r="Q6" s="217" t="s">
        <v>409</v>
      </c>
      <c r="R6" s="217" t="s">
        <v>409</v>
      </c>
      <c r="S6" s="328">
        <v>65</v>
      </c>
      <c r="T6" s="328">
        <v>87.5</v>
      </c>
      <c r="U6" s="328">
        <v>0.74285714285714288</v>
      </c>
      <c r="V6" s="341" t="s">
        <v>37</v>
      </c>
      <c r="W6" s="341" t="s">
        <v>37</v>
      </c>
      <c r="X6" s="328" t="s">
        <v>470</v>
      </c>
      <c r="Y6" s="328" t="s">
        <v>471</v>
      </c>
      <c r="Z6" s="328" t="s">
        <v>472</v>
      </c>
      <c r="AA6" s="217" t="s">
        <v>185</v>
      </c>
      <c r="AB6" s="175" t="s">
        <v>187</v>
      </c>
      <c r="AC6" s="170" t="s">
        <v>37</v>
      </c>
      <c r="AD6" s="171">
        <v>45316</v>
      </c>
      <c r="AE6" s="243" t="s">
        <v>191</v>
      </c>
      <c r="AF6" s="171">
        <v>45407</v>
      </c>
      <c r="AG6" s="170" t="s">
        <v>191</v>
      </c>
      <c r="AH6" s="280">
        <v>45490</v>
      </c>
      <c r="AI6" s="169" t="s">
        <v>191</v>
      </c>
      <c r="AJ6" s="238">
        <v>45574</v>
      </c>
      <c r="AK6" s="266" t="s">
        <v>191</v>
      </c>
      <c r="AL6" s="200">
        <v>45652</v>
      </c>
      <c r="AM6" s="254"/>
      <c r="AN6" s="171">
        <v>45826</v>
      </c>
      <c r="AO6" s="254"/>
      <c r="AP6" s="195">
        <v>45903</v>
      </c>
      <c r="AQ6" s="245" t="s">
        <v>289</v>
      </c>
      <c r="AR6" s="443"/>
      <c r="AS6" s="444"/>
      <c r="AT6" s="444"/>
      <c r="AU6" s="444"/>
      <c r="AV6" s="444"/>
      <c r="AW6" s="447"/>
      <c r="AX6" s="338">
        <v>46048</v>
      </c>
      <c r="AY6" t="s">
        <v>461</v>
      </c>
      <c r="BA6">
        <f>DATEDIF(AA6,AP6,"d")</f>
        <v>650</v>
      </c>
      <c r="BD6">
        <f t="shared" si="0"/>
        <v>795</v>
      </c>
    </row>
    <row r="7" spans="1:56" x14ac:dyDescent="0.35">
      <c r="A7" s="172" t="s">
        <v>196</v>
      </c>
      <c r="B7" s="173" t="s">
        <v>194</v>
      </c>
      <c r="C7" s="201" t="s">
        <v>195</v>
      </c>
      <c r="D7" s="210" t="s">
        <v>193</v>
      </c>
      <c r="E7" s="380" t="s">
        <v>888</v>
      </c>
      <c r="F7" s="214" t="s">
        <v>299</v>
      </c>
      <c r="G7" s="212" t="s">
        <v>882</v>
      </c>
      <c r="H7" s="212" t="s">
        <v>882</v>
      </c>
      <c r="I7" s="212" t="s">
        <v>882</v>
      </c>
      <c r="J7" s="212" t="s">
        <v>819</v>
      </c>
      <c r="K7" s="315">
        <v>17.2</v>
      </c>
      <c r="L7" s="315">
        <v>0</v>
      </c>
      <c r="M7" s="315">
        <v>0</v>
      </c>
      <c r="N7" s="217" t="s">
        <v>409</v>
      </c>
      <c r="O7" s="324">
        <v>0</v>
      </c>
      <c r="P7" s="324">
        <v>0</v>
      </c>
      <c r="Q7" s="217" t="s">
        <v>409</v>
      </c>
      <c r="R7" s="217" t="s">
        <v>409</v>
      </c>
      <c r="S7" s="328">
        <v>281.5</v>
      </c>
      <c r="T7" s="328">
        <v>35</v>
      </c>
      <c r="U7" s="328">
        <v>8.0428571428571427</v>
      </c>
      <c r="V7" s="341"/>
      <c r="W7" s="341"/>
      <c r="X7" s="328" t="s">
        <v>473</v>
      </c>
      <c r="Y7" s="328" t="s">
        <v>467</v>
      </c>
      <c r="Z7" s="328"/>
      <c r="AA7" s="217" t="s">
        <v>197</v>
      </c>
      <c r="AB7" s="175" t="s">
        <v>213</v>
      </c>
      <c r="AC7" s="170" t="s">
        <v>37</v>
      </c>
      <c r="AD7" s="200">
        <v>45397</v>
      </c>
      <c r="AE7" s="266" t="s">
        <v>191</v>
      </c>
      <c r="AF7" s="168">
        <v>45446</v>
      </c>
      <c r="AG7" s="169" t="s">
        <v>191</v>
      </c>
      <c r="AH7" s="290">
        <v>45524</v>
      </c>
      <c r="AI7" s="169" t="s">
        <v>191</v>
      </c>
      <c r="AJ7" s="238">
        <v>45602</v>
      </c>
      <c r="AK7" s="266" t="s">
        <v>191</v>
      </c>
      <c r="AL7" s="200">
        <v>45660</v>
      </c>
      <c r="AM7" s="254"/>
      <c r="AN7" s="171">
        <v>45721</v>
      </c>
      <c r="AO7" s="254"/>
      <c r="AP7" s="171">
        <v>45812</v>
      </c>
      <c r="AQ7" s="254"/>
      <c r="AR7" s="171">
        <v>45875</v>
      </c>
      <c r="AS7" s="254"/>
      <c r="AT7" s="171">
        <v>45995</v>
      </c>
      <c r="AU7" s="254"/>
      <c r="AV7" s="195">
        <v>46043</v>
      </c>
      <c r="AW7" s="196" t="s">
        <v>289</v>
      </c>
      <c r="AX7" s="338">
        <v>46252</v>
      </c>
      <c r="AY7" t="s">
        <v>460</v>
      </c>
      <c r="BA7">
        <f>DATEDIF(AA7,AV7,"d")</f>
        <v>714</v>
      </c>
      <c r="BD7" s="11">
        <f t="shared" si="0"/>
        <v>923</v>
      </c>
    </row>
    <row r="8" spans="1:56" x14ac:dyDescent="0.35">
      <c r="A8" s="172" t="s">
        <v>198</v>
      </c>
      <c r="B8" s="173" t="s">
        <v>199</v>
      </c>
      <c r="C8" s="201" t="s">
        <v>200</v>
      </c>
      <c r="D8" s="210" t="s">
        <v>201</v>
      </c>
      <c r="E8" s="380" t="s">
        <v>888</v>
      </c>
      <c r="F8" s="214" t="s">
        <v>299</v>
      </c>
      <c r="G8" s="212" t="s">
        <v>883</v>
      </c>
      <c r="H8" s="212" t="s">
        <v>882</v>
      </c>
      <c r="I8" s="212" t="s">
        <v>882</v>
      </c>
      <c r="J8" s="212" t="s">
        <v>37</v>
      </c>
      <c r="K8" s="315">
        <v>3.1</v>
      </c>
      <c r="L8" s="315">
        <v>0</v>
      </c>
      <c r="M8" s="315">
        <v>0</v>
      </c>
      <c r="N8" s="217" t="s">
        <v>37</v>
      </c>
      <c r="O8" s="324">
        <v>0</v>
      </c>
      <c r="P8" s="324">
        <v>0</v>
      </c>
      <c r="Q8" s="324">
        <v>0</v>
      </c>
      <c r="R8" s="324">
        <v>0</v>
      </c>
      <c r="S8" s="328">
        <v>265</v>
      </c>
      <c r="T8" s="328">
        <v>100</v>
      </c>
      <c r="U8" s="328">
        <v>2.65</v>
      </c>
      <c r="V8" s="341" t="s">
        <v>37</v>
      </c>
      <c r="W8" s="341" t="s">
        <v>37</v>
      </c>
      <c r="X8" s="328" t="s">
        <v>409</v>
      </c>
      <c r="Y8" s="328" t="s">
        <v>409</v>
      </c>
      <c r="Z8" s="328" t="s">
        <v>409</v>
      </c>
      <c r="AA8" s="217" t="s">
        <v>202</v>
      </c>
      <c r="AB8" s="175" t="s">
        <v>218</v>
      </c>
      <c r="AC8" s="170" t="s">
        <v>37</v>
      </c>
      <c r="AD8" s="171">
        <v>45397</v>
      </c>
      <c r="AE8" s="266" t="s">
        <v>111</v>
      </c>
      <c r="AF8" s="197">
        <v>45419</v>
      </c>
      <c r="AG8" s="245" t="s">
        <v>292</v>
      </c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8"/>
      <c r="AU8" s="448"/>
      <c r="AV8" s="448"/>
      <c r="AW8" s="448"/>
      <c r="AX8" s="338">
        <v>45856</v>
      </c>
      <c r="AY8" t="s">
        <v>461</v>
      </c>
      <c r="BA8">
        <f>DATEDIF(AA8,AF8,"d")</f>
        <v>88</v>
      </c>
      <c r="BD8">
        <f t="shared" si="0"/>
        <v>525</v>
      </c>
    </row>
    <row r="9" spans="1:56" x14ac:dyDescent="0.35">
      <c r="A9" s="172" t="s">
        <v>203</v>
      </c>
      <c r="B9" s="173" t="s">
        <v>204</v>
      </c>
      <c r="C9" s="201" t="s">
        <v>205</v>
      </c>
      <c r="D9" s="210" t="s">
        <v>206</v>
      </c>
      <c r="E9" s="380" t="s">
        <v>889</v>
      </c>
      <c r="F9" s="214" t="s">
        <v>299</v>
      </c>
      <c r="G9" s="375" t="s">
        <v>875</v>
      </c>
      <c r="H9" s="375" t="s">
        <v>875</v>
      </c>
      <c r="I9" s="375" t="s">
        <v>875</v>
      </c>
      <c r="J9" s="212" t="s">
        <v>875</v>
      </c>
      <c r="K9" s="315">
        <v>38.200000000000003</v>
      </c>
      <c r="L9" s="315">
        <v>0</v>
      </c>
      <c r="M9" s="315">
        <v>0</v>
      </c>
      <c r="N9" s="217" t="s">
        <v>875</v>
      </c>
      <c r="O9" s="324">
        <v>0</v>
      </c>
      <c r="P9" s="324">
        <v>0</v>
      </c>
      <c r="Q9" s="217" t="s">
        <v>875</v>
      </c>
      <c r="R9" s="217" t="s">
        <v>875</v>
      </c>
      <c r="S9" s="328">
        <v>52.5</v>
      </c>
      <c r="T9" s="328">
        <v>110</v>
      </c>
      <c r="U9" s="328">
        <v>0.47727272727272729</v>
      </c>
      <c r="V9" s="341" t="s">
        <v>875</v>
      </c>
      <c r="W9" s="341" t="s">
        <v>875</v>
      </c>
      <c r="X9" s="341" t="s">
        <v>875</v>
      </c>
      <c r="Y9" s="341" t="s">
        <v>875</v>
      </c>
      <c r="Z9" s="341" t="s">
        <v>875</v>
      </c>
      <c r="AA9" s="217" t="s">
        <v>207</v>
      </c>
      <c r="AB9" s="175" t="s">
        <v>219</v>
      </c>
      <c r="AC9" s="170" t="s">
        <v>37</v>
      </c>
      <c r="AD9" s="171">
        <v>45406</v>
      </c>
      <c r="AE9" s="266" t="s">
        <v>191</v>
      </c>
      <c r="AF9" s="168">
        <v>45476</v>
      </c>
      <c r="AG9" s="169" t="s">
        <v>191</v>
      </c>
      <c r="AH9" s="301">
        <v>45546</v>
      </c>
      <c r="AI9" s="302" t="s">
        <v>191</v>
      </c>
      <c r="AJ9" s="301">
        <v>45630</v>
      </c>
      <c r="AK9" s="303" t="s">
        <v>191</v>
      </c>
      <c r="AL9" s="304">
        <v>45707</v>
      </c>
      <c r="AM9" s="254"/>
      <c r="AN9" s="304">
        <v>45805</v>
      </c>
      <c r="AO9" s="254"/>
      <c r="AP9" s="183">
        <v>45904</v>
      </c>
      <c r="AQ9" s="254"/>
      <c r="AR9" s="183">
        <v>46036</v>
      </c>
      <c r="AS9" s="254"/>
      <c r="AT9" s="275"/>
      <c r="AU9" s="271"/>
      <c r="AV9" s="275"/>
      <c r="AW9" s="276"/>
      <c r="AX9" s="183">
        <v>46141</v>
      </c>
      <c r="AY9" t="s">
        <v>460</v>
      </c>
      <c r="AZ9" s="183">
        <v>46141</v>
      </c>
      <c r="BA9" s="11">
        <f>DATEDIF(AA9,AZ9,"d")</f>
        <v>804</v>
      </c>
      <c r="BD9" s="11">
        <f>DATEDIF(AA9,AX9,"d")</f>
        <v>804</v>
      </c>
    </row>
    <row r="10" spans="1:56" x14ac:dyDescent="0.35">
      <c r="A10" s="172" t="s">
        <v>208</v>
      </c>
      <c r="B10" s="173" t="s">
        <v>209</v>
      </c>
      <c r="C10" s="201" t="s">
        <v>210</v>
      </c>
      <c r="D10" s="210" t="s">
        <v>211</v>
      </c>
      <c r="E10" s="380" t="s">
        <v>889</v>
      </c>
      <c r="F10" s="214" t="s">
        <v>299</v>
      </c>
      <c r="G10" s="375" t="s">
        <v>875</v>
      </c>
      <c r="H10" s="375" t="s">
        <v>875</v>
      </c>
      <c r="I10" s="375" t="s">
        <v>875</v>
      </c>
      <c r="J10" s="212" t="s">
        <v>875</v>
      </c>
      <c r="K10" s="315">
        <v>0</v>
      </c>
      <c r="L10" s="315">
        <v>0</v>
      </c>
      <c r="M10" s="315">
        <v>0</v>
      </c>
      <c r="N10" s="217" t="s">
        <v>875</v>
      </c>
      <c r="O10" s="324">
        <v>2</v>
      </c>
      <c r="P10" s="324">
        <v>0</v>
      </c>
      <c r="Q10" s="217" t="s">
        <v>875</v>
      </c>
      <c r="R10" s="217" t="s">
        <v>875</v>
      </c>
      <c r="S10" s="328">
        <v>5</v>
      </c>
      <c r="T10" s="328">
        <v>20</v>
      </c>
      <c r="U10" s="328">
        <v>0.25</v>
      </c>
      <c r="V10" s="341" t="s">
        <v>875</v>
      </c>
      <c r="W10" s="341" t="s">
        <v>875</v>
      </c>
      <c r="X10" s="341" t="s">
        <v>875</v>
      </c>
      <c r="Y10" s="341" t="s">
        <v>875</v>
      </c>
      <c r="Z10" s="341" t="s">
        <v>875</v>
      </c>
      <c r="AA10" s="217" t="s">
        <v>212</v>
      </c>
      <c r="AB10" s="175" t="s">
        <v>220</v>
      </c>
      <c r="AC10" s="170" t="s">
        <v>37</v>
      </c>
      <c r="AD10" s="171">
        <v>45406</v>
      </c>
      <c r="AE10" s="243" t="s">
        <v>191</v>
      </c>
      <c r="AF10" s="171">
        <v>45511</v>
      </c>
      <c r="AG10" s="170" t="s">
        <v>191</v>
      </c>
      <c r="AH10" s="290">
        <v>45602</v>
      </c>
      <c r="AI10" s="169" t="s">
        <v>293</v>
      </c>
      <c r="AJ10" s="238">
        <v>45700</v>
      </c>
      <c r="AK10" s="254"/>
      <c r="AL10" s="200">
        <v>45791</v>
      </c>
      <c r="AM10" s="254"/>
      <c r="AN10" s="171">
        <v>45883</v>
      </c>
      <c r="AO10" s="254"/>
      <c r="AP10" s="171">
        <v>45987</v>
      </c>
      <c r="AQ10" s="254"/>
      <c r="AR10" s="306">
        <v>46106</v>
      </c>
      <c r="AS10" s="283"/>
      <c r="AT10" s="275"/>
      <c r="AU10" s="271"/>
      <c r="AV10" s="275"/>
      <c r="AW10" s="276"/>
      <c r="AX10" s="306">
        <v>46239</v>
      </c>
      <c r="AY10" t="s">
        <v>460</v>
      </c>
      <c r="AZ10" s="338">
        <v>46181</v>
      </c>
      <c r="BA10" s="385">
        <f>DATEDIF(AA10,AZ10,"d")</f>
        <v>837</v>
      </c>
      <c r="BD10" s="11">
        <f t="shared" si="0"/>
        <v>895</v>
      </c>
    </row>
    <row r="11" spans="1:56" x14ac:dyDescent="0.35">
      <c r="A11" s="172" t="s">
        <v>215</v>
      </c>
      <c r="B11" s="173" t="s">
        <v>216</v>
      </c>
      <c r="C11" s="201" t="s">
        <v>217</v>
      </c>
      <c r="D11" s="210" t="s">
        <v>224</v>
      </c>
      <c r="E11" s="380" t="s">
        <v>889</v>
      </c>
      <c r="F11" s="214" t="s">
        <v>299</v>
      </c>
      <c r="G11" s="375" t="s">
        <v>37</v>
      </c>
      <c r="H11" s="212" t="s">
        <v>882</v>
      </c>
      <c r="I11" s="212" t="s">
        <v>882</v>
      </c>
      <c r="J11" s="212" t="s">
        <v>37</v>
      </c>
      <c r="K11" s="315">
        <v>28.1</v>
      </c>
      <c r="L11" s="315">
        <v>0</v>
      </c>
      <c r="M11" s="315">
        <v>0</v>
      </c>
      <c r="N11" s="217" t="s">
        <v>876</v>
      </c>
      <c r="O11" s="324">
        <v>0</v>
      </c>
      <c r="P11" s="324">
        <v>0</v>
      </c>
      <c r="Q11" s="217" t="s">
        <v>37</v>
      </c>
      <c r="R11" s="217" t="s">
        <v>37</v>
      </c>
      <c r="S11" s="328">
        <v>277.5</v>
      </c>
      <c r="T11" s="328">
        <v>50</v>
      </c>
      <c r="U11" s="328">
        <v>5.55</v>
      </c>
      <c r="V11" s="341" t="s">
        <v>37</v>
      </c>
      <c r="W11" s="341" t="s">
        <v>37</v>
      </c>
      <c r="X11" s="328" t="s">
        <v>477</v>
      </c>
      <c r="Y11" s="328" t="s">
        <v>467</v>
      </c>
      <c r="Z11" s="328"/>
      <c r="AA11" s="217" t="s">
        <v>225</v>
      </c>
      <c r="AB11" s="175" t="s">
        <v>221</v>
      </c>
      <c r="AC11" s="170" t="s">
        <v>37</v>
      </c>
      <c r="AD11" s="171">
        <v>45428</v>
      </c>
      <c r="AE11" s="266" t="s">
        <v>293</v>
      </c>
      <c r="AF11" s="220">
        <v>45498</v>
      </c>
      <c r="AG11" s="169" t="s">
        <v>293</v>
      </c>
      <c r="AH11" s="238">
        <v>45567</v>
      </c>
      <c r="AI11" s="169" t="s">
        <v>293</v>
      </c>
      <c r="AJ11" s="238">
        <v>45638</v>
      </c>
      <c r="AK11" s="254"/>
      <c r="AL11" s="200">
        <v>45722</v>
      </c>
      <c r="AM11" s="254"/>
      <c r="AN11" s="171">
        <v>45812</v>
      </c>
      <c r="AO11" s="254"/>
      <c r="AP11" s="171">
        <v>45889</v>
      </c>
      <c r="AQ11" s="254"/>
      <c r="AR11" s="195">
        <v>46146</v>
      </c>
      <c r="AS11" s="245" t="s">
        <v>289</v>
      </c>
      <c r="AT11" s="171"/>
      <c r="AU11" s="254"/>
      <c r="AV11" s="275"/>
      <c r="AW11" s="276"/>
      <c r="AX11" s="338">
        <v>46238</v>
      </c>
      <c r="AY11" t="s">
        <v>460</v>
      </c>
      <c r="BA11">
        <f>DATEDIF(AA11,AR11,"d")</f>
        <v>782</v>
      </c>
      <c r="BD11" s="11">
        <f t="shared" si="0"/>
        <v>874</v>
      </c>
    </row>
    <row r="12" spans="1:56" ht="15" thickBot="1" x14ac:dyDescent="0.4">
      <c r="A12" s="172" t="s">
        <v>244</v>
      </c>
      <c r="B12" s="173" t="s">
        <v>245</v>
      </c>
      <c r="C12" s="201" t="s">
        <v>243</v>
      </c>
      <c r="D12" s="210" t="s">
        <v>262</v>
      </c>
      <c r="E12" s="380" t="s">
        <v>887</v>
      </c>
      <c r="F12" s="214" t="s">
        <v>299</v>
      </c>
      <c r="G12" s="212" t="s">
        <v>882</v>
      </c>
      <c r="H12" s="212" t="s">
        <v>882</v>
      </c>
      <c r="I12" s="212" t="s">
        <v>882</v>
      </c>
      <c r="J12" s="212" t="s">
        <v>873</v>
      </c>
      <c r="K12" s="315">
        <v>161.30000000000001</v>
      </c>
      <c r="L12" s="315">
        <v>0</v>
      </c>
      <c r="M12" s="315">
        <v>0</v>
      </c>
      <c r="N12" s="315">
        <v>62</v>
      </c>
      <c r="O12" s="324">
        <v>0</v>
      </c>
      <c r="P12" s="324">
        <v>0</v>
      </c>
      <c r="Q12" s="324">
        <v>0</v>
      </c>
      <c r="R12" s="324">
        <v>0</v>
      </c>
      <c r="S12" s="328">
        <v>285</v>
      </c>
      <c r="T12" s="328">
        <v>125</v>
      </c>
      <c r="U12" s="328">
        <v>2.2799999999999998</v>
      </c>
      <c r="V12" s="342">
        <v>255</v>
      </c>
      <c r="W12" s="343">
        <v>10</v>
      </c>
      <c r="X12" s="328" t="s">
        <v>409</v>
      </c>
      <c r="Y12" s="328" t="s">
        <v>409</v>
      </c>
      <c r="Z12" s="328" t="s">
        <v>409</v>
      </c>
      <c r="AA12" s="217" t="s">
        <v>235</v>
      </c>
      <c r="AB12" s="175" t="s">
        <v>264</v>
      </c>
      <c r="AC12" s="170" t="s">
        <v>37</v>
      </c>
      <c r="AD12" s="223">
        <v>45540</v>
      </c>
      <c r="AE12" s="266" t="s">
        <v>191</v>
      </c>
      <c r="AF12" s="171">
        <v>45630</v>
      </c>
      <c r="AG12" s="169" t="s">
        <v>191</v>
      </c>
      <c r="AH12" s="278">
        <v>45755</v>
      </c>
      <c r="AI12" s="196" t="s">
        <v>289</v>
      </c>
      <c r="AJ12" s="449"/>
      <c r="AK12" s="450"/>
      <c r="AL12" s="450"/>
      <c r="AM12" s="450"/>
      <c r="AN12" s="450"/>
      <c r="AO12" s="450"/>
      <c r="AP12" s="450"/>
      <c r="AQ12" s="450"/>
      <c r="AR12" s="450"/>
      <c r="AS12" s="450"/>
      <c r="AT12" s="450"/>
      <c r="AU12" s="450"/>
      <c r="AV12" s="450"/>
      <c r="AW12" s="451"/>
      <c r="AX12" s="338">
        <v>45870</v>
      </c>
      <c r="AY12" t="s">
        <v>461</v>
      </c>
      <c r="BA12">
        <f>DATEDIF(AA12,AH12,"d")</f>
        <v>279</v>
      </c>
      <c r="BD12">
        <f t="shared" si="0"/>
        <v>394</v>
      </c>
    </row>
    <row r="13" spans="1:56" x14ac:dyDescent="0.35">
      <c r="A13" s="172" t="s">
        <v>272</v>
      </c>
      <c r="B13" s="173" t="s">
        <v>273</v>
      </c>
      <c r="C13" s="201" t="s">
        <v>274</v>
      </c>
      <c r="D13" s="210" t="s">
        <v>278</v>
      </c>
      <c r="E13" s="380" t="s">
        <v>889</v>
      </c>
      <c r="F13" s="214" t="s">
        <v>299</v>
      </c>
      <c r="G13" s="212" t="s">
        <v>883</v>
      </c>
      <c r="H13" s="212" t="s">
        <v>882</v>
      </c>
      <c r="I13" s="212" t="s">
        <v>882</v>
      </c>
      <c r="J13" s="212" t="s">
        <v>37</v>
      </c>
      <c r="K13" s="315">
        <v>585.70000000000005</v>
      </c>
      <c r="L13" s="315">
        <v>276.39999999999998</v>
      </c>
      <c r="M13" s="217" t="s">
        <v>37</v>
      </c>
      <c r="N13" s="315">
        <v>108.9</v>
      </c>
      <c r="O13" s="324">
        <v>0</v>
      </c>
      <c r="P13" s="324">
        <v>0</v>
      </c>
      <c r="Q13" s="324">
        <v>0</v>
      </c>
      <c r="R13" s="324">
        <v>0</v>
      </c>
      <c r="S13" s="328">
        <v>293.5</v>
      </c>
      <c r="T13" s="328">
        <v>200</v>
      </c>
      <c r="U13" s="328">
        <v>1.4675</v>
      </c>
      <c r="V13" s="341" t="s">
        <v>37</v>
      </c>
      <c r="W13" s="341" t="s">
        <v>37</v>
      </c>
      <c r="X13" s="328" t="s">
        <v>488</v>
      </c>
      <c r="Y13" s="328" t="s">
        <v>490</v>
      </c>
      <c r="Z13" s="328" t="s">
        <v>492</v>
      </c>
      <c r="AA13" s="217" t="s">
        <v>265</v>
      </c>
      <c r="AB13" s="222" t="s">
        <v>283</v>
      </c>
      <c r="AC13" s="170" t="s">
        <v>37</v>
      </c>
      <c r="AD13" s="195">
        <v>45560</v>
      </c>
      <c r="AE13" s="245" t="s">
        <v>289</v>
      </c>
      <c r="AF13" s="452"/>
      <c r="AG13" s="452"/>
      <c r="AH13" s="452"/>
      <c r="AI13" s="452"/>
      <c r="AJ13" s="452"/>
      <c r="AK13" s="452"/>
      <c r="AL13" s="452"/>
      <c r="AM13" s="452"/>
      <c r="AN13" s="452"/>
      <c r="AO13" s="452"/>
      <c r="AP13" s="453"/>
      <c r="AQ13" s="453"/>
      <c r="AR13" s="453"/>
      <c r="AS13" s="453"/>
      <c r="AT13" s="453"/>
      <c r="AU13" s="453"/>
      <c r="AV13" s="453"/>
      <c r="AW13" s="453"/>
      <c r="AX13" s="338">
        <v>45792</v>
      </c>
      <c r="AY13" t="s">
        <v>461</v>
      </c>
      <c r="BA13">
        <f>DATEDIF(AA13,AD13,"d")</f>
        <v>55</v>
      </c>
      <c r="BD13">
        <f t="shared" si="0"/>
        <v>287</v>
      </c>
    </row>
    <row r="14" spans="1:56" x14ac:dyDescent="0.35">
      <c r="A14" s="204" t="s">
        <v>301</v>
      </c>
      <c r="B14" s="173" t="s">
        <v>302</v>
      </c>
      <c r="C14" s="201" t="s">
        <v>493</v>
      </c>
      <c r="D14" s="210" t="s">
        <v>307</v>
      </c>
      <c r="E14" s="380" t="s">
        <v>889</v>
      </c>
      <c r="F14" s="214" t="s">
        <v>299</v>
      </c>
      <c r="G14" s="375" t="s">
        <v>37</v>
      </c>
      <c r="H14" s="375" t="s">
        <v>37</v>
      </c>
      <c r="I14" s="375" t="s">
        <v>37</v>
      </c>
      <c r="J14" s="212" t="s">
        <v>819</v>
      </c>
      <c r="K14" s="315">
        <v>88.2</v>
      </c>
      <c r="L14" s="315">
        <v>16.3</v>
      </c>
      <c r="M14" s="315">
        <v>46.4</v>
      </c>
      <c r="N14" s="315">
        <v>39.4</v>
      </c>
      <c r="O14" s="324">
        <v>1</v>
      </c>
      <c r="P14" s="324">
        <v>0</v>
      </c>
      <c r="Q14" s="217" t="s">
        <v>37</v>
      </c>
      <c r="R14" s="217" t="s">
        <v>37</v>
      </c>
      <c r="S14" s="328">
        <v>202</v>
      </c>
      <c r="T14" s="328">
        <v>130</v>
      </c>
      <c r="U14" s="328">
        <v>1.5538461538461539</v>
      </c>
      <c r="V14" s="345">
        <v>202</v>
      </c>
      <c r="W14" s="346">
        <v>130</v>
      </c>
      <c r="X14" s="328" t="s">
        <v>409</v>
      </c>
      <c r="Y14" s="328" t="s">
        <v>409</v>
      </c>
      <c r="Z14" s="328" t="s">
        <v>409</v>
      </c>
      <c r="AA14" s="218">
        <v>45534</v>
      </c>
      <c r="AB14" s="221">
        <v>45561</v>
      </c>
      <c r="AC14" s="170" t="s">
        <v>37</v>
      </c>
      <c r="AD14" s="246">
        <v>45596</v>
      </c>
      <c r="AE14" s="266" t="s">
        <v>191</v>
      </c>
      <c r="AF14" s="259">
        <v>45635</v>
      </c>
      <c r="AG14" s="260" t="s">
        <v>289</v>
      </c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338">
        <v>45678</v>
      </c>
      <c r="AY14" t="s">
        <v>461</v>
      </c>
      <c r="AZ14" s="338"/>
      <c r="BA14">
        <f>DATEDIF(AA14,AF14,"d")</f>
        <v>101</v>
      </c>
      <c r="BD14">
        <f t="shared" si="0"/>
        <v>144</v>
      </c>
    </row>
    <row r="15" spans="1:56" x14ac:dyDescent="0.35">
      <c r="A15" s="204" t="s">
        <v>303</v>
      </c>
      <c r="B15" s="173" t="s">
        <v>304</v>
      </c>
      <c r="C15" s="201" t="s">
        <v>890</v>
      </c>
      <c r="D15" s="210" t="s">
        <v>308</v>
      </c>
      <c r="E15" s="380" t="s">
        <v>888</v>
      </c>
      <c r="F15" s="214" t="s">
        <v>299</v>
      </c>
      <c r="G15" s="212" t="s">
        <v>882</v>
      </c>
      <c r="H15" s="212" t="s">
        <v>883</v>
      </c>
      <c r="I15" s="212" t="s">
        <v>883</v>
      </c>
      <c r="J15" s="212" t="s">
        <v>819</v>
      </c>
      <c r="K15" s="315">
        <v>19.7</v>
      </c>
      <c r="L15" s="315">
        <v>0</v>
      </c>
      <c r="M15" s="315">
        <v>0</v>
      </c>
      <c r="N15" s="315">
        <v>0</v>
      </c>
      <c r="O15" s="324">
        <v>0</v>
      </c>
      <c r="P15" s="324">
        <v>0</v>
      </c>
      <c r="Q15" s="324">
        <v>0</v>
      </c>
      <c r="R15" s="324">
        <v>0</v>
      </c>
      <c r="S15" s="328">
        <v>240</v>
      </c>
      <c r="T15" s="328">
        <v>5</v>
      </c>
      <c r="U15" s="328">
        <v>48</v>
      </c>
      <c r="V15" s="341" t="s">
        <v>37</v>
      </c>
      <c r="W15" s="341" t="s">
        <v>37</v>
      </c>
      <c r="X15" s="328" t="s">
        <v>495</v>
      </c>
      <c r="Y15" s="328" t="s">
        <v>494</v>
      </c>
      <c r="Z15" s="328" t="s">
        <v>496</v>
      </c>
      <c r="AA15" s="218">
        <v>45560</v>
      </c>
      <c r="AB15" s="221">
        <v>45594</v>
      </c>
      <c r="AC15" s="170" t="s">
        <v>37</v>
      </c>
      <c r="AD15" s="246">
        <v>45300</v>
      </c>
      <c r="AE15" s="294" t="s">
        <v>328</v>
      </c>
      <c r="AF15" s="246">
        <v>45705</v>
      </c>
      <c r="AG15" s="240" t="s">
        <v>328</v>
      </c>
      <c r="AH15" s="298">
        <v>45743</v>
      </c>
      <c r="AI15" s="260" t="s">
        <v>289</v>
      </c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4"/>
      <c r="AX15" s="338">
        <v>45992</v>
      </c>
      <c r="AY15" t="s">
        <v>460</v>
      </c>
      <c r="BA15">
        <f>DATEDIF(AA15,AH15,"d")</f>
        <v>183</v>
      </c>
      <c r="BD15" s="11">
        <f t="shared" si="0"/>
        <v>432</v>
      </c>
    </row>
    <row r="16" spans="1:56" x14ac:dyDescent="0.35">
      <c r="A16" s="206" t="s">
        <v>305</v>
      </c>
      <c r="B16" s="207" t="s">
        <v>306</v>
      </c>
      <c r="C16" s="201" t="s">
        <v>891</v>
      </c>
      <c r="D16" s="211" t="s">
        <v>309</v>
      </c>
      <c r="E16" s="380" t="s">
        <v>888</v>
      </c>
      <c r="F16" s="215" t="s">
        <v>299</v>
      </c>
      <c r="G16" s="212" t="s">
        <v>883</v>
      </c>
      <c r="H16" s="212" t="s">
        <v>883</v>
      </c>
      <c r="I16" s="212" t="s">
        <v>882</v>
      </c>
      <c r="J16" s="212" t="s">
        <v>37</v>
      </c>
      <c r="K16" s="316">
        <v>1239.0999999999999</v>
      </c>
      <c r="L16" s="316">
        <v>63.3</v>
      </c>
      <c r="M16" s="316">
        <v>8.1</v>
      </c>
      <c r="N16" s="321" t="s">
        <v>37</v>
      </c>
      <c r="O16" s="324">
        <v>0</v>
      </c>
      <c r="P16" s="324">
        <v>0</v>
      </c>
      <c r="Q16" s="217" t="s">
        <v>37</v>
      </c>
      <c r="R16" s="217" t="s">
        <v>37</v>
      </c>
      <c r="S16" s="329">
        <v>247.5</v>
      </c>
      <c r="T16" s="329">
        <v>127.5</v>
      </c>
      <c r="U16" s="329">
        <v>1.9411764705882353</v>
      </c>
      <c r="V16" s="344" t="s">
        <v>37</v>
      </c>
      <c r="W16" s="344" t="s">
        <v>37</v>
      </c>
      <c r="X16" s="329" t="s">
        <v>409</v>
      </c>
      <c r="Y16" s="329" t="s">
        <v>409</v>
      </c>
      <c r="Z16" s="329" t="s">
        <v>409</v>
      </c>
      <c r="AA16" s="219">
        <v>45561</v>
      </c>
      <c r="AB16" s="281">
        <v>45610</v>
      </c>
      <c r="AC16" s="170" t="s">
        <v>37</v>
      </c>
      <c r="AD16" s="200">
        <v>45625</v>
      </c>
      <c r="AE16" s="266" t="s">
        <v>191</v>
      </c>
      <c r="AF16" s="307">
        <v>45674</v>
      </c>
      <c r="AG16" s="196" t="s">
        <v>344</v>
      </c>
      <c r="AH16" s="454"/>
      <c r="AI16" s="454"/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454"/>
      <c r="AU16" s="454"/>
      <c r="AV16" s="454"/>
      <c r="AW16" s="454"/>
      <c r="AX16" s="338">
        <v>45674</v>
      </c>
      <c r="AY16" t="s">
        <v>461</v>
      </c>
      <c r="BA16">
        <f>DATEDIF(AA16,AF16,"d")</f>
        <v>113</v>
      </c>
      <c r="BD16">
        <f t="shared" si="0"/>
        <v>113</v>
      </c>
    </row>
    <row r="17" spans="1:111" s="205" customFormat="1" x14ac:dyDescent="0.35">
      <c r="A17" s="204" t="s">
        <v>314</v>
      </c>
      <c r="B17" s="228" t="s">
        <v>315</v>
      </c>
      <c r="C17" s="201" t="s">
        <v>892</v>
      </c>
      <c r="D17" s="229" t="s">
        <v>323</v>
      </c>
      <c r="E17" s="380" t="s">
        <v>889</v>
      </c>
      <c r="F17" s="232" t="s">
        <v>299</v>
      </c>
      <c r="G17" s="212" t="s">
        <v>883</v>
      </c>
      <c r="H17" s="212" t="s">
        <v>882</v>
      </c>
      <c r="I17" s="212" t="s">
        <v>882</v>
      </c>
      <c r="J17" s="212" t="s">
        <v>37</v>
      </c>
      <c r="K17" s="317">
        <v>17.399999999999999</v>
      </c>
      <c r="L17" s="317">
        <v>3.3</v>
      </c>
      <c r="M17" s="317">
        <v>24</v>
      </c>
      <c r="N17" s="317">
        <v>51.1</v>
      </c>
      <c r="O17" s="324">
        <v>1</v>
      </c>
      <c r="P17" s="324">
        <v>0</v>
      </c>
      <c r="Q17" s="324">
        <v>10</v>
      </c>
      <c r="R17" s="324">
        <v>0</v>
      </c>
      <c r="S17" s="330">
        <v>232.5</v>
      </c>
      <c r="T17" s="330">
        <v>200</v>
      </c>
      <c r="U17" s="330">
        <v>1.1625000000000001</v>
      </c>
      <c r="V17" s="341" t="s">
        <v>37</v>
      </c>
      <c r="W17" s="341" t="s">
        <v>37</v>
      </c>
      <c r="X17" s="330" t="s">
        <v>500</v>
      </c>
      <c r="Y17" s="330" t="s">
        <v>499</v>
      </c>
      <c r="Z17" s="330" t="s">
        <v>501</v>
      </c>
      <c r="AA17" s="234">
        <v>45587</v>
      </c>
      <c r="AB17" s="246">
        <v>45614</v>
      </c>
      <c r="AC17" s="170" t="s">
        <v>37</v>
      </c>
      <c r="AD17" s="246">
        <v>45642</v>
      </c>
      <c r="AE17" s="266" t="s">
        <v>293</v>
      </c>
      <c r="AF17" s="281">
        <v>45702</v>
      </c>
      <c r="AG17" s="257" t="s">
        <v>293</v>
      </c>
      <c r="AH17" s="299">
        <v>45757</v>
      </c>
      <c r="AI17" s="258" t="s">
        <v>289</v>
      </c>
      <c r="AJ17" s="454"/>
      <c r="AK17" s="454"/>
      <c r="AL17" s="454"/>
      <c r="AM17" s="454"/>
      <c r="AN17" s="454"/>
      <c r="AO17" s="454"/>
      <c r="AP17" s="454"/>
      <c r="AQ17" s="454"/>
      <c r="AR17" s="454"/>
      <c r="AS17" s="454"/>
      <c r="AT17" s="454"/>
      <c r="AU17" s="454"/>
      <c r="AV17" s="454"/>
      <c r="AW17" s="454"/>
      <c r="AX17" s="338">
        <v>46078</v>
      </c>
      <c r="AY17" t="s">
        <v>461</v>
      </c>
      <c r="AZ17"/>
      <c r="BA17">
        <f>DATEDIF(AA17,AH17,"d")</f>
        <v>170</v>
      </c>
      <c r="BB17"/>
      <c r="BD17">
        <f t="shared" si="0"/>
        <v>491</v>
      </c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</row>
    <row r="18" spans="1:111" s="208" customFormat="1" ht="15" thickBot="1" x14ac:dyDescent="0.4">
      <c r="A18" s="206" t="s">
        <v>312</v>
      </c>
      <c r="B18" s="235" t="s">
        <v>313</v>
      </c>
      <c r="C18" s="201" t="s">
        <v>893</v>
      </c>
      <c r="D18" s="229" t="s">
        <v>324</v>
      </c>
      <c r="E18" s="380" t="s">
        <v>889</v>
      </c>
      <c r="F18" s="233" t="s">
        <v>299</v>
      </c>
      <c r="G18" s="212" t="s">
        <v>883</v>
      </c>
      <c r="H18" s="212" t="s">
        <v>882</v>
      </c>
      <c r="I18" s="212" t="s">
        <v>882</v>
      </c>
      <c r="J18" s="212" t="s">
        <v>874</v>
      </c>
      <c r="K18" s="318">
        <v>263.3</v>
      </c>
      <c r="L18" s="318">
        <v>156.19999999999999</v>
      </c>
      <c r="M18" s="320" t="s">
        <v>37</v>
      </c>
      <c r="N18" s="318">
        <v>117</v>
      </c>
      <c r="O18" s="324">
        <v>43</v>
      </c>
      <c r="P18" s="324">
        <v>0</v>
      </c>
      <c r="Q18" s="324">
        <v>10</v>
      </c>
      <c r="R18" s="324">
        <v>0</v>
      </c>
      <c r="S18" s="331">
        <v>212.5</v>
      </c>
      <c r="T18" s="331">
        <v>170</v>
      </c>
      <c r="U18" s="331">
        <v>1.25</v>
      </c>
      <c r="V18" s="347">
        <v>212.5</v>
      </c>
      <c r="W18" s="348">
        <v>170</v>
      </c>
      <c r="X18" s="331" t="s">
        <v>502</v>
      </c>
      <c r="Y18" s="331" t="s">
        <v>503</v>
      </c>
      <c r="Z18" s="331" t="s">
        <v>504</v>
      </c>
      <c r="AA18" s="237">
        <v>45588</v>
      </c>
      <c r="AB18" s="281">
        <v>45610</v>
      </c>
      <c r="AC18" s="170" t="s">
        <v>37</v>
      </c>
      <c r="AD18" s="195">
        <v>45644</v>
      </c>
      <c r="AE18" s="245" t="s">
        <v>289</v>
      </c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338">
        <v>45823</v>
      </c>
      <c r="AY18" t="s">
        <v>461</v>
      </c>
      <c r="AZ18"/>
      <c r="BA18">
        <f>DATEDIF(AA18,AD18,"d")</f>
        <v>56</v>
      </c>
      <c r="BB18"/>
      <c r="BD18">
        <f t="shared" si="0"/>
        <v>235</v>
      </c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</row>
    <row r="19" spans="1:111" s="205" customFormat="1" x14ac:dyDescent="0.35">
      <c r="A19" s="204" t="s">
        <v>319</v>
      </c>
      <c r="B19" s="173" t="s">
        <v>216</v>
      </c>
      <c r="C19" s="201" t="s">
        <v>879</v>
      </c>
      <c r="D19" s="210" t="s">
        <v>325</v>
      </c>
      <c r="E19" s="380" t="s">
        <v>888</v>
      </c>
      <c r="F19" s="214" t="s">
        <v>299</v>
      </c>
      <c r="G19" s="375" t="s">
        <v>875</v>
      </c>
      <c r="H19" s="375" t="s">
        <v>875</v>
      </c>
      <c r="I19" s="375" t="s">
        <v>875</v>
      </c>
      <c r="J19" s="212" t="s">
        <v>875</v>
      </c>
      <c r="K19" s="315">
        <v>212</v>
      </c>
      <c r="L19" s="315">
        <v>0</v>
      </c>
      <c r="M19" s="315">
        <v>0</v>
      </c>
      <c r="N19" s="217" t="s">
        <v>875</v>
      </c>
      <c r="O19" s="324">
        <v>1</v>
      </c>
      <c r="P19" s="324">
        <v>0</v>
      </c>
      <c r="Q19" s="217" t="s">
        <v>875</v>
      </c>
      <c r="R19" s="217" t="s">
        <v>875</v>
      </c>
      <c r="S19" s="328">
        <v>0</v>
      </c>
      <c r="T19" s="328">
        <v>50</v>
      </c>
      <c r="U19" s="328">
        <v>0</v>
      </c>
      <c r="V19" s="341" t="s">
        <v>875</v>
      </c>
      <c r="W19" s="341" t="s">
        <v>875</v>
      </c>
      <c r="X19" s="341" t="s">
        <v>875</v>
      </c>
      <c r="Y19" s="341" t="s">
        <v>875</v>
      </c>
      <c r="Z19" s="341" t="s">
        <v>875</v>
      </c>
      <c r="AA19" s="234">
        <v>45603</v>
      </c>
      <c r="AB19" s="246">
        <v>45628</v>
      </c>
      <c r="AC19" s="169" t="s">
        <v>37</v>
      </c>
      <c r="AD19" s="246">
        <v>45665</v>
      </c>
      <c r="AE19" s="263" t="s">
        <v>191</v>
      </c>
      <c r="AF19" s="246">
        <v>45719</v>
      </c>
      <c r="AG19" s="242" t="s">
        <v>191</v>
      </c>
      <c r="AH19" s="256">
        <v>45777</v>
      </c>
      <c r="AI19" s="247"/>
      <c r="AJ19" s="256">
        <v>45866</v>
      </c>
      <c r="AK19" s="254"/>
      <c r="AL19" s="246">
        <v>46025</v>
      </c>
      <c r="AM19" s="254"/>
      <c r="AN19" s="246">
        <v>46062</v>
      </c>
      <c r="AO19" s="254"/>
      <c r="AP19" s="252"/>
      <c r="AQ19" s="253"/>
      <c r="AR19" s="252"/>
      <c r="AS19" s="253"/>
      <c r="AT19" s="252"/>
      <c r="AU19" s="253"/>
      <c r="AV19" s="252"/>
      <c r="AW19" s="269"/>
      <c r="AX19" s="338">
        <v>46247</v>
      </c>
      <c r="AY19" t="s">
        <v>460</v>
      </c>
      <c r="AZ19" s="338">
        <v>46136</v>
      </c>
      <c r="BA19">
        <f>DATEDIF(AA10,AZ19,"d")</f>
        <v>792</v>
      </c>
      <c r="BB19"/>
      <c r="BD19" s="11">
        <f t="shared" si="0"/>
        <v>644</v>
      </c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</row>
    <row r="20" spans="1:111" s="205" customFormat="1" ht="15.75" customHeight="1" x14ac:dyDescent="0.35">
      <c r="A20" s="204" t="s">
        <v>320</v>
      </c>
      <c r="B20" s="173" t="s">
        <v>178</v>
      </c>
      <c r="C20" s="201" t="s">
        <v>894</v>
      </c>
      <c r="D20" s="210" t="s">
        <v>326</v>
      </c>
      <c r="E20" s="380" t="s">
        <v>888</v>
      </c>
      <c r="F20" s="214" t="s">
        <v>299</v>
      </c>
      <c r="G20" s="212" t="s">
        <v>883</v>
      </c>
      <c r="H20" s="212" t="s">
        <v>882</v>
      </c>
      <c r="I20" s="212" t="s">
        <v>883</v>
      </c>
      <c r="J20" s="212" t="s">
        <v>816</v>
      </c>
      <c r="K20" s="315">
        <v>1277.8</v>
      </c>
      <c r="L20" s="315">
        <v>17.5</v>
      </c>
      <c r="M20" s="315">
        <v>40.200000000000003</v>
      </c>
      <c r="N20" s="315">
        <v>100000</v>
      </c>
      <c r="O20" s="324">
        <v>0</v>
      </c>
      <c r="P20" s="324">
        <v>0</v>
      </c>
      <c r="Q20" s="324">
        <v>14</v>
      </c>
      <c r="R20" s="324">
        <v>2</v>
      </c>
      <c r="S20" s="328">
        <v>26.5</v>
      </c>
      <c r="T20" s="328">
        <v>125</v>
      </c>
      <c r="U20" s="328">
        <v>0.21199999999999999</v>
      </c>
      <c r="V20" s="341">
        <v>40</v>
      </c>
      <c r="W20" s="341">
        <v>45</v>
      </c>
      <c r="X20" s="328" t="s">
        <v>409</v>
      </c>
      <c r="Y20" s="328" t="s">
        <v>409</v>
      </c>
      <c r="Z20" s="328" t="s">
        <v>409</v>
      </c>
      <c r="AA20" s="234">
        <v>45609</v>
      </c>
      <c r="AB20" s="246">
        <v>45635</v>
      </c>
      <c r="AC20" s="170" t="s">
        <v>37</v>
      </c>
      <c r="AD20" s="246">
        <v>45667</v>
      </c>
      <c r="AE20" s="266" t="s">
        <v>316</v>
      </c>
      <c r="AF20" s="195">
        <v>45722</v>
      </c>
      <c r="AG20" s="245" t="s">
        <v>289</v>
      </c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  <c r="AW20" s="454"/>
      <c r="AX20" s="338">
        <v>45730</v>
      </c>
      <c r="AY20" t="s">
        <v>461</v>
      </c>
      <c r="AZ20"/>
      <c r="BA20">
        <f>DATEDIF(AA20,AF20,"d")</f>
        <v>113</v>
      </c>
      <c r="BB20"/>
      <c r="BD20">
        <f t="shared" si="0"/>
        <v>121</v>
      </c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</row>
    <row r="21" spans="1:111" x14ac:dyDescent="0.35">
      <c r="A21" s="204" t="s">
        <v>329</v>
      </c>
      <c r="B21" s="173" t="s">
        <v>330</v>
      </c>
      <c r="C21" s="201" t="s">
        <v>895</v>
      </c>
      <c r="D21" s="210" t="s">
        <v>339</v>
      </c>
      <c r="E21" s="380" t="s">
        <v>888</v>
      </c>
      <c r="F21" s="214" t="s">
        <v>299</v>
      </c>
      <c r="G21" s="212" t="s">
        <v>875</v>
      </c>
      <c r="H21" s="375" t="s">
        <v>875</v>
      </c>
      <c r="I21" s="375" t="s">
        <v>875</v>
      </c>
      <c r="J21" s="212" t="s">
        <v>875</v>
      </c>
      <c r="K21" s="315">
        <v>21.2</v>
      </c>
      <c r="L21" s="315">
        <v>0</v>
      </c>
      <c r="M21" s="315">
        <v>0</v>
      </c>
      <c r="N21" s="217" t="s">
        <v>875</v>
      </c>
      <c r="O21" s="324">
        <v>0</v>
      </c>
      <c r="P21" s="324">
        <v>0</v>
      </c>
      <c r="Q21" s="217" t="s">
        <v>875</v>
      </c>
      <c r="R21" s="217" t="s">
        <v>875</v>
      </c>
      <c r="S21" s="328">
        <v>252.5</v>
      </c>
      <c r="T21" s="328">
        <v>185</v>
      </c>
      <c r="U21" s="328">
        <v>1.3648648648648649</v>
      </c>
      <c r="V21" s="328" t="s">
        <v>875</v>
      </c>
      <c r="W21" s="328" t="s">
        <v>875</v>
      </c>
      <c r="X21" s="328" t="s">
        <v>875</v>
      </c>
      <c r="Y21" s="328" t="s">
        <v>875</v>
      </c>
      <c r="Z21" s="328" t="s">
        <v>875</v>
      </c>
      <c r="AA21" s="234">
        <v>45665</v>
      </c>
      <c r="AB21" s="246">
        <v>45749</v>
      </c>
      <c r="AC21" s="170" t="s">
        <v>37</v>
      </c>
      <c r="AD21" s="246">
        <v>45776</v>
      </c>
      <c r="AE21" s="266" t="s">
        <v>316</v>
      </c>
      <c r="AF21" s="246">
        <v>45847</v>
      </c>
      <c r="AG21" s="169" t="s">
        <v>316</v>
      </c>
      <c r="AH21" s="256">
        <v>45904</v>
      </c>
      <c r="AI21" s="247"/>
      <c r="AJ21" s="256">
        <v>45974</v>
      </c>
      <c r="AK21" s="254"/>
      <c r="AL21" s="287"/>
      <c r="AM21" s="25"/>
      <c r="AN21" s="287">
        <v>46078</v>
      </c>
      <c r="AO21" s="25"/>
      <c r="AP21" s="287"/>
      <c r="AQ21" s="25"/>
      <c r="AR21" s="287"/>
      <c r="AS21" s="25"/>
      <c r="AT21" s="287"/>
      <c r="AU21" s="25"/>
      <c r="AV21" s="287"/>
      <c r="AW21" s="288"/>
      <c r="AX21" s="338">
        <v>46232</v>
      </c>
      <c r="AY21" t="s">
        <v>460</v>
      </c>
      <c r="AZ21" s="338">
        <v>46232</v>
      </c>
      <c r="BA21" s="11">
        <f>DATEDIF(AA21,AZ21,"d")</f>
        <v>567</v>
      </c>
      <c r="BD21" s="11">
        <f t="shared" si="0"/>
        <v>567</v>
      </c>
    </row>
    <row r="22" spans="1:111" ht="15.75" customHeight="1" x14ac:dyDescent="0.35">
      <c r="A22" s="204" t="s">
        <v>333</v>
      </c>
      <c r="B22" s="173" t="s">
        <v>334</v>
      </c>
      <c r="C22" s="201" t="s">
        <v>896</v>
      </c>
      <c r="D22" s="210" t="s">
        <v>341</v>
      </c>
      <c r="E22" s="380" t="s">
        <v>888</v>
      </c>
      <c r="F22" s="214" t="s">
        <v>299</v>
      </c>
      <c r="G22" s="212" t="s">
        <v>875</v>
      </c>
      <c r="H22" s="375" t="s">
        <v>875</v>
      </c>
      <c r="I22" s="375" t="s">
        <v>875</v>
      </c>
      <c r="J22" s="212" t="s">
        <v>875</v>
      </c>
      <c r="K22" s="315">
        <v>30.9</v>
      </c>
      <c r="L22" s="315">
        <v>0</v>
      </c>
      <c r="M22" s="315">
        <v>0</v>
      </c>
      <c r="N22" s="217" t="s">
        <v>875</v>
      </c>
      <c r="O22" s="324">
        <v>0</v>
      </c>
      <c r="P22" s="324">
        <v>0</v>
      </c>
      <c r="Q22" s="217" t="s">
        <v>875</v>
      </c>
      <c r="R22" s="217" t="s">
        <v>875</v>
      </c>
      <c r="S22" s="328">
        <v>293</v>
      </c>
      <c r="T22" s="328">
        <v>202.5</v>
      </c>
      <c r="U22" s="328">
        <v>1.4469135802469135</v>
      </c>
      <c r="V22" s="328" t="s">
        <v>875</v>
      </c>
      <c r="W22" s="328" t="s">
        <v>875</v>
      </c>
      <c r="X22" s="328" t="s">
        <v>875</v>
      </c>
      <c r="Y22" s="328" t="s">
        <v>875</v>
      </c>
      <c r="Z22" s="328" t="s">
        <v>875</v>
      </c>
      <c r="AA22" s="234">
        <v>45673</v>
      </c>
      <c r="AB22" s="246">
        <v>45722</v>
      </c>
      <c r="AC22" s="170" t="s">
        <v>37</v>
      </c>
      <c r="AD22" s="246">
        <v>45757</v>
      </c>
      <c r="AE22" s="263" t="s">
        <v>191</v>
      </c>
      <c r="AF22" s="246">
        <v>45819</v>
      </c>
      <c r="AG22" s="242" t="s">
        <v>191</v>
      </c>
      <c r="AH22" s="256">
        <v>45925</v>
      </c>
      <c r="AI22" s="247"/>
      <c r="AJ22" s="292">
        <v>45987</v>
      </c>
      <c r="AK22" s="270"/>
      <c r="AL22" s="281">
        <v>46079</v>
      </c>
      <c r="AM22" s="270"/>
      <c r="AN22" s="261"/>
      <c r="AO22" s="23"/>
      <c r="AP22" s="261"/>
      <c r="AQ22" s="23"/>
      <c r="AR22" s="261"/>
      <c r="AS22" s="23"/>
      <c r="AT22" s="261"/>
      <c r="AU22" s="23"/>
      <c r="AV22" s="261"/>
      <c r="AW22" s="262"/>
      <c r="AX22" s="338">
        <v>46176</v>
      </c>
      <c r="AY22" t="s">
        <v>460</v>
      </c>
      <c r="AZ22" s="338">
        <v>46176</v>
      </c>
      <c r="BA22" s="11">
        <f>DATEDIF(AA22,AZ22,"d")</f>
        <v>503</v>
      </c>
      <c r="BD22" s="11">
        <f t="shared" si="0"/>
        <v>503</v>
      </c>
    </row>
    <row r="23" spans="1:111" x14ac:dyDescent="0.35">
      <c r="A23" s="204" t="s">
        <v>335</v>
      </c>
      <c r="B23" s="173" t="s">
        <v>336</v>
      </c>
      <c r="C23" s="201" t="s">
        <v>897</v>
      </c>
      <c r="D23" s="210" t="s">
        <v>342</v>
      </c>
      <c r="E23" s="380" t="s">
        <v>888</v>
      </c>
      <c r="F23" s="214" t="s">
        <v>299</v>
      </c>
      <c r="G23" s="212" t="s">
        <v>882</v>
      </c>
      <c r="H23" s="212" t="s">
        <v>883</v>
      </c>
      <c r="I23" s="212" t="s">
        <v>883</v>
      </c>
      <c r="J23" s="212" t="s">
        <v>878</v>
      </c>
      <c r="K23" s="315">
        <v>6205</v>
      </c>
      <c r="L23" s="315">
        <v>3.5</v>
      </c>
      <c r="M23" s="315">
        <v>21.1</v>
      </c>
      <c r="N23" s="217" t="s">
        <v>37</v>
      </c>
      <c r="O23" s="324">
        <v>33</v>
      </c>
      <c r="P23" s="324">
        <v>0</v>
      </c>
      <c r="Q23" s="217" t="s">
        <v>37</v>
      </c>
      <c r="R23" s="217" t="s">
        <v>37</v>
      </c>
      <c r="S23" s="328">
        <v>270</v>
      </c>
      <c r="T23" s="328">
        <v>0</v>
      </c>
      <c r="U23" s="328">
        <v>270</v>
      </c>
      <c r="V23" s="328" t="s">
        <v>37</v>
      </c>
      <c r="W23" s="328" t="s">
        <v>37</v>
      </c>
      <c r="X23" s="328" t="s">
        <v>409</v>
      </c>
      <c r="Y23" s="328" t="s">
        <v>409</v>
      </c>
      <c r="Z23" s="328" t="s">
        <v>409</v>
      </c>
      <c r="AA23" s="234">
        <v>45691</v>
      </c>
      <c r="AB23" s="246">
        <v>45737</v>
      </c>
      <c r="AC23" s="169" t="s">
        <v>37</v>
      </c>
      <c r="AD23" s="246">
        <v>45763</v>
      </c>
      <c r="AE23" s="263" t="s">
        <v>191</v>
      </c>
      <c r="AF23" s="246">
        <v>45828</v>
      </c>
      <c r="AG23" s="242" t="s">
        <v>191</v>
      </c>
      <c r="AH23" s="308">
        <v>45889</v>
      </c>
      <c r="AI23" s="245" t="s">
        <v>375</v>
      </c>
      <c r="AJ23" s="454"/>
      <c r="AK23" s="454"/>
      <c r="AL23" s="454"/>
      <c r="AM23" s="454"/>
      <c r="AN23" s="454"/>
      <c r="AO23" s="454"/>
      <c r="AP23" s="454"/>
      <c r="AQ23" s="454"/>
      <c r="AR23" s="454"/>
      <c r="AS23" s="454"/>
      <c r="AT23" s="454"/>
      <c r="AU23" s="454"/>
      <c r="AV23" s="454"/>
      <c r="AW23" s="454"/>
      <c r="AX23" s="338">
        <v>45889</v>
      </c>
      <c r="AY23" t="s">
        <v>461</v>
      </c>
      <c r="BA23">
        <f>DATEDIF(AA23,AH23,"d")</f>
        <v>198</v>
      </c>
      <c r="BD23">
        <f t="shared" si="0"/>
        <v>198</v>
      </c>
    </row>
    <row r="24" spans="1:111" ht="15.75" customHeight="1" x14ac:dyDescent="0.35">
      <c r="A24" s="204" t="s">
        <v>337</v>
      </c>
      <c r="B24" s="173" t="s">
        <v>338</v>
      </c>
      <c r="C24" s="201" t="s">
        <v>898</v>
      </c>
      <c r="D24" s="210" t="s">
        <v>343</v>
      </c>
      <c r="E24" s="380" t="s">
        <v>888</v>
      </c>
      <c r="F24" s="214" t="s">
        <v>299</v>
      </c>
      <c r="G24" s="212" t="s">
        <v>883</v>
      </c>
      <c r="H24" s="212" t="s">
        <v>882</v>
      </c>
      <c r="I24" s="212" t="s">
        <v>883</v>
      </c>
      <c r="J24" s="212" t="s">
        <v>37</v>
      </c>
      <c r="K24" s="315">
        <v>234.9</v>
      </c>
      <c r="L24" s="315">
        <v>0</v>
      </c>
      <c r="M24" s="315">
        <v>0</v>
      </c>
      <c r="N24" s="217" t="s">
        <v>409</v>
      </c>
      <c r="O24" s="324">
        <v>0</v>
      </c>
      <c r="P24" s="324">
        <v>0</v>
      </c>
      <c r="Q24" s="217" t="s">
        <v>409</v>
      </c>
      <c r="R24" s="217" t="s">
        <v>409</v>
      </c>
      <c r="S24" s="328">
        <v>237.5</v>
      </c>
      <c r="T24" s="328">
        <v>150</v>
      </c>
      <c r="U24" s="328">
        <v>1.5833333333333333</v>
      </c>
      <c r="V24" s="328" t="s">
        <v>37</v>
      </c>
      <c r="W24" s="328" t="s">
        <v>37</v>
      </c>
      <c r="X24" s="328" t="s">
        <v>505</v>
      </c>
      <c r="Y24" s="328" t="s">
        <v>467</v>
      </c>
      <c r="Z24" s="328"/>
      <c r="AA24" s="234">
        <v>45701</v>
      </c>
      <c r="AB24" s="246">
        <v>45735</v>
      </c>
      <c r="AC24" s="170" t="s">
        <v>37</v>
      </c>
      <c r="AD24" s="246">
        <v>45763</v>
      </c>
      <c r="AE24" s="266" t="s">
        <v>316</v>
      </c>
      <c r="AF24" s="246">
        <v>45847</v>
      </c>
      <c r="AG24" s="169" t="s">
        <v>316</v>
      </c>
      <c r="AH24" s="278">
        <v>46091</v>
      </c>
      <c r="AI24" s="196" t="s">
        <v>289</v>
      </c>
      <c r="AJ24" s="454"/>
      <c r="AK24" s="454"/>
      <c r="AL24" s="454"/>
      <c r="AM24" s="454"/>
      <c r="AN24" s="454"/>
      <c r="AO24" s="454"/>
      <c r="AP24" s="454"/>
      <c r="AQ24" s="454"/>
      <c r="AR24" s="454"/>
      <c r="AS24" s="454"/>
      <c r="AT24" s="454"/>
      <c r="AU24" s="454"/>
      <c r="AV24" s="454"/>
      <c r="AW24" s="454"/>
      <c r="AX24" s="338">
        <v>46175</v>
      </c>
      <c r="AY24" t="s">
        <v>460</v>
      </c>
      <c r="BA24">
        <f>DATEDIF(AA24,AH24,"d")</f>
        <v>390</v>
      </c>
      <c r="BD24" s="11">
        <f t="shared" si="0"/>
        <v>474</v>
      </c>
    </row>
    <row r="25" spans="1:111" x14ac:dyDescent="0.35">
      <c r="A25" s="204" t="s">
        <v>345</v>
      </c>
      <c r="B25" s="173" t="s">
        <v>346</v>
      </c>
      <c r="C25" s="201" t="s">
        <v>901</v>
      </c>
      <c r="D25" s="210" t="s">
        <v>349</v>
      </c>
      <c r="E25" s="380" t="s">
        <v>888</v>
      </c>
      <c r="F25" s="214" t="s">
        <v>299</v>
      </c>
      <c r="G25" s="212" t="s">
        <v>875</v>
      </c>
      <c r="H25" s="375" t="s">
        <v>875</v>
      </c>
      <c r="I25" s="375" t="s">
        <v>875</v>
      </c>
      <c r="J25" s="212" t="s">
        <v>875</v>
      </c>
      <c r="K25" s="315">
        <v>0</v>
      </c>
      <c r="L25" s="217" t="s">
        <v>37</v>
      </c>
      <c r="M25" s="315">
        <v>0</v>
      </c>
      <c r="N25" s="217" t="s">
        <v>875</v>
      </c>
      <c r="O25" s="324">
        <v>0</v>
      </c>
      <c r="P25" s="324">
        <v>0</v>
      </c>
      <c r="Q25" s="217" t="s">
        <v>875</v>
      </c>
      <c r="R25" s="217" t="s">
        <v>875</v>
      </c>
      <c r="S25" s="328" t="s">
        <v>37</v>
      </c>
      <c r="T25" s="328" t="s">
        <v>37</v>
      </c>
      <c r="U25" s="328" t="s">
        <v>37</v>
      </c>
      <c r="V25" s="328" t="s">
        <v>875</v>
      </c>
      <c r="W25" s="328" t="s">
        <v>875</v>
      </c>
      <c r="X25" s="328" t="s">
        <v>875</v>
      </c>
      <c r="Y25" s="328" t="s">
        <v>875</v>
      </c>
      <c r="Z25" s="328" t="s">
        <v>875</v>
      </c>
      <c r="AA25" s="234">
        <v>45722</v>
      </c>
      <c r="AB25" s="246">
        <v>45764</v>
      </c>
      <c r="AC25" s="241" t="s">
        <v>37</v>
      </c>
      <c r="AD25" s="246">
        <v>45800</v>
      </c>
      <c r="AE25" s="263" t="s">
        <v>191</v>
      </c>
      <c r="AF25" s="246">
        <v>45869</v>
      </c>
      <c r="AG25" s="242" t="s">
        <v>191</v>
      </c>
      <c r="AH25" s="256">
        <v>45932</v>
      </c>
      <c r="AI25" s="247"/>
      <c r="AJ25" s="256">
        <v>46001</v>
      </c>
      <c r="AK25" s="254"/>
      <c r="AL25" s="246">
        <v>46092</v>
      </c>
      <c r="AM25" s="254"/>
      <c r="AN25" s="261"/>
      <c r="AO25" s="23"/>
      <c r="AP25" s="261"/>
      <c r="AQ25" s="23"/>
      <c r="AR25" s="261"/>
      <c r="AS25" s="23"/>
      <c r="AT25" s="261"/>
      <c r="AU25" s="23"/>
      <c r="AV25" s="261"/>
      <c r="AW25" s="262"/>
      <c r="AX25" s="338">
        <v>46204</v>
      </c>
      <c r="AY25" t="s">
        <v>460</v>
      </c>
      <c r="AZ25" s="338">
        <v>46204</v>
      </c>
      <c r="BA25" s="11">
        <f>DATEDIF(AA25,AZ25,"d")</f>
        <v>482</v>
      </c>
      <c r="BD25" s="11">
        <f t="shared" si="0"/>
        <v>482</v>
      </c>
    </row>
    <row r="26" spans="1:111" x14ac:dyDescent="0.35">
      <c r="A26" s="204" t="s">
        <v>347</v>
      </c>
      <c r="B26" s="173" t="s">
        <v>348</v>
      </c>
      <c r="C26" s="382" t="s">
        <v>899</v>
      </c>
      <c r="D26" s="210" t="s">
        <v>350</v>
      </c>
      <c r="E26" s="380" t="s">
        <v>888</v>
      </c>
      <c r="F26" s="214" t="s">
        <v>299</v>
      </c>
      <c r="G26" s="212" t="s">
        <v>875</v>
      </c>
      <c r="H26" s="375" t="s">
        <v>875</v>
      </c>
      <c r="I26" s="375" t="s">
        <v>875</v>
      </c>
      <c r="J26" s="212" t="s">
        <v>875</v>
      </c>
      <c r="K26" s="315">
        <v>46.5</v>
      </c>
      <c r="L26" s="315">
        <v>0</v>
      </c>
      <c r="M26" s="315">
        <v>0</v>
      </c>
      <c r="N26" s="217" t="s">
        <v>875</v>
      </c>
      <c r="O26" s="324">
        <v>1</v>
      </c>
      <c r="P26" s="324">
        <v>0</v>
      </c>
      <c r="Q26" s="217" t="s">
        <v>875</v>
      </c>
      <c r="R26" s="217" t="s">
        <v>875</v>
      </c>
      <c r="S26" s="328" t="s">
        <v>37</v>
      </c>
      <c r="T26" s="328" t="s">
        <v>37</v>
      </c>
      <c r="U26" s="328" t="s">
        <v>37</v>
      </c>
      <c r="V26" s="328" t="s">
        <v>875</v>
      </c>
      <c r="W26" s="328" t="s">
        <v>875</v>
      </c>
      <c r="X26" s="328" t="s">
        <v>875</v>
      </c>
      <c r="Y26" s="328" t="s">
        <v>875</v>
      </c>
      <c r="Z26" s="328" t="s">
        <v>875</v>
      </c>
      <c r="AA26" s="234">
        <v>45736</v>
      </c>
      <c r="AB26" s="246">
        <v>45777</v>
      </c>
      <c r="AC26" s="241" t="s">
        <v>37</v>
      </c>
      <c r="AD26" s="246">
        <v>45819</v>
      </c>
      <c r="AE26" s="266" t="s">
        <v>316</v>
      </c>
      <c r="AF26" s="246">
        <v>45924</v>
      </c>
      <c r="AG26" s="169" t="s">
        <v>316</v>
      </c>
      <c r="AH26" s="256">
        <v>46015</v>
      </c>
      <c r="AI26" s="247"/>
      <c r="AJ26" s="25">
        <v>46106</v>
      </c>
      <c r="AK26" s="23"/>
      <c r="AL26" s="261"/>
      <c r="AM26" s="23"/>
      <c r="AN26" s="261"/>
      <c r="AO26" s="23"/>
      <c r="AP26" s="261"/>
      <c r="AQ26" s="23"/>
      <c r="AR26" s="261"/>
      <c r="AS26" s="23"/>
      <c r="AT26" s="261"/>
      <c r="AU26" s="23"/>
      <c r="AV26" s="261"/>
      <c r="AW26" s="262"/>
      <c r="AX26" s="338">
        <v>46197</v>
      </c>
      <c r="AY26" t="s">
        <v>460</v>
      </c>
      <c r="AZ26" s="338">
        <v>46197</v>
      </c>
      <c r="BA26" s="11">
        <f>DATEDIF(AA26,AZ26,"d")</f>
        <v>461</v>
      </c>
      <c r="BD26" s="11">
        <f t="shared" si="0"/>
        <v>461</v>
      </c>
    </row>
    <row r="28" spans="1:111" x14ac:dyDescent="0.35">
      <c r="R28" s="384" t="s">
        <v>902</v>
      </c>
      <c r="S28" s="383">
        <f>MEDIAN(S3:S26)</f>
        <v>237.5</v>
      </c>
    </row>
    <row r="29" spans="1:111" x14ac:dyDescent="0.35">
      <c r="R29" s="384" t="s">
        <v>903</v>
      </c>
      <c r="S29" s="383" t="s">
        <v>905</v>
      </c>
    </row>
    <row r="30" spans="1:111" x14ac:dyDescent="0.35">
      <c r="R30" s="384" t="s">
        <v>904</v>
      </c>
      <c r="S30">
        <v>270</v>
      </c>
    </row>
    <row r="32" spans="1:111" x14ac:dyDescent="0.35">
      <c r="R32" s="383">
        <f>AVERAGE(S3:S26)</f>
        <v>190.1904761904762</v>
      </c>
    </row>
    <row r="35" spans="19:20" x14ac:dyDescent="0.35">
      <c r="S35" s="328"/>
    </row>
    <row r="36" spans="19:20" x14ac:dyDescent="0.35">
      <c r="S36" s="328">
        <v>200</v>
      </c>
      <c r="T36" s="328">
        <v>0</v>
      </c>
    </row>
    <row r="37" spans="19:20" x14ac:dyDescent="0.35">
      <c r="S37" s="328">
        <v>55</v>
      </c>
      <c r="T37" s="328">
        <v>97.5</v>
      </c>
    </row>
    <row r="38" spans="19:20" x14ac:dyDescent="0.35">
      <c r="S38" s="328">
        <v>65</v>
      </c>
      <c r="T38" s="328">
        <v>87.5</v>
      </c>
    </row>
    <row r="39" spans="19:20" x14ac:dyDescent="0.35">
      <c r="S39" s="328">
        <v>281.5</v>
      </c>
      <c r="T39" s="328">
        <v>35</v>
      </c>
    </row>
    <row r="40" spans="19:20" x14ac:dyDescent="0.35">
      <c r="S40" s="328">
        <v>265</v>
      </c>
      <c r="T40" s="328">
        <v>100</v>
      </c>
    </row>
    <row r="41" spans="19:20" x14ac:dyDescent="0.35">
      <c r="S41" s="328">
        <v>52.5</v>
      </c>
      <c r="T41" s="328">
        <v>110</v>
      </c>
    </row>
    <row r="42" spans="19:20" x14ac:dyDescent="0.35">
      <c r="S42" s="328">
        <v>5</v>
      </c>
      <c r="T42" s="328">
        <v>20</v>
      </c>
    </row>
    <row r="43" spans="19:20" x14ac:dyDescent="0.35">
      <c r="S43" s="328">
        <v>277.5</v>
      </c>
      <c r="T43" s="328">
        <v>50</v>
      </c>
    </row>
    <row r="44" spans="19:20" x14ac:dyDescent="0.35">
      <c r="S44" s="328">
        <v>285</v>
      </c>
      <c r="T44" s="328">
        <v>125</v>
      </c>
    </row>
    <row r="45" spans="19:20" x14ac:dyDescent="0.35">
      <c r="S45" s="328">
        <v>293.5</v>
      </c>
      <c r="T45" s="328">
        <v>200</v>
      </c>
    </row>
    <row r="46" spans="19:20" x14ac:dyDescent="0.35">
      <c r="S46" s="328">
        <v>202</v>
      </c>
      <c r="T46" s="328">
        <v>130</v>
      </c>
    </row>
    <row r="47" spans="19:20" x14ac:dyDescent="0.35">
      <c r="S47" s="328">
        <v>240</v>
      </c>
      <c r="T47" s="328">
        <v>5</v>
      </c>
    </row>
    <row r="48" spans="19:20" x14ac:dyDescent="0.35">
      <c r="S48" s="329">
        <v>247.5</v>
      </c>
      <c r="T48" s="329">
        <v>127.5</v>
      </c>
    </row>
    <row r="49" spans="19:20" x14ac:dyDescent="0.35">
      <c r="S49" s="330">
        <v>232.5</v>
      </c>
      <c r="T49" s="330">
        <v>200</v>
      </c>
    </row>
    <row r="50" spans="19:20" x14ac:dyDescent="0.35">
      <c r="S50" s="331">
        <v>212.5</v>
      </c>
      <c r="T50" s="331">
        <v>170</v>
      </c>
    </row>
    <row r="51" spans="19:20" x14ac:dyDescent="0.35">
      <c r="S51" s="328">
        <v>0</v>
      </c>
      <c r="T51" s="328">
        <v>50</v>
      </c>
    </row>
    <row r="52" spans="19:20" x14ac:dyDescent="0.35">
      <c r="S52" s="328">
        <v>26.5</v>
      </c>
      <c r="T52" s="328">
        <v>125</v>
      </c>
    </row>
    <row r="53" spans="19:20" x14ac:dyDescent="0.35">
      <c r="S53" s="328">
        <v>252.5</v>
      </c>
      <c r="T53" s="328">
        <v>185</v>
      </c>
    </row>
    <row r="54" spans="19:20" x14ac:dyDescent="0.35">
      <c r="S54" s="328">
        <v>293</v>
      </c>
      <c r="T54" s="328">
        <v>202.5</v>
      </c>
    </row>
    <row r="55" spans="19:20" x14ac:dyDescent="0.35">
      <c r="S55" s="328">
        <v>270</v>
      </c>
      <c r="T55" s="328">
        <v>0</v>
      </c>
    </row>
    <row r="56" spans="19:20" x14ac:dyDescent="0.35">
      <c r="S56" s="328">
        <v>237.5</v>
      </c>
      <c r="T56" s="328">
        <v>150</v>
      </c>
    </row>
    <row r="57" spans="19:20" x14ac:dyDescent="0.35">
      <c r="S57" s="328"/>
      <c r="T57" s="328"/>
    </row>
    <row r="58" spans="19:20" x14ac:dyDescent="0.35">
      <c r="S58" s="328"/>
      <c r="T58" s="328"/>
    </row>
  </sheetData>
  <mergeCells count="31">
    <mergeCell ref="AB1:AC1"/>
    <mergeCell ref="A1:A2"/>
    <mergeCell ref="B1:B2"/>
    <mergeCell ref="C1:C2"/>
    <mergeCell ref="D1:D2"/>
    <mergeCell ref="AA1:AA2"/>
    <mergeCell ref="AD1:AE1"/>
    <mergeCell ref="AF1:AG1"/>
    <mergeCell ref="AH1:AI1"/>
    <mergeCell ref="AJ1:AK1"/>
    <mergeCell ref="AL1:AM1"/>
    <mergeCell ref="AH14:AW14"/>
    <mergeCell ref="AP1:AQ1"/>
    <mergeCell ref="AR1:AS1"/>
    <mergeCell ref="AT1:AU1"/>
    <mergeCell ref="AV1:AW1"/>
    <mergeCell ref="AJ3:AW3"/>
    <mergeCell ref="AH4:AW4"/>
    <mergeCell ref="AN1:AO1"/>
    <mergeCell ref="AT5:AW5"/>
    <mergeCell ref="AR6:AW6"/>
    <mergeCell ref="AH8:AW8"/>
    <mergeCell ref="AJ12:AW12"/>
    <mergeCell ref="AF13:AW13"/>
    <mergeCell ref="AJ24:AW24"/>
    <mergeCell ref="AJ15:AW15"/>
    <mergeCell ref="AH16:AW16"/>
    <mergeCell ref="AJ17:AW17"/>
    <mergeCell ref="AF18:AW18"/>
    <mergeCell ref="AH20:AW20"/>
    <mergeCell ref="AJ23:AW23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9"/>
  <sheetViews>
    <sheetView topLeftCell="B1" workbookViewId="0">
      <selection activeCell="E167" sqref="E167"/>
    </sheetView>
  </sheetViews>
  <sheetFormatPr baseColWidth="10" defaultRowHeight="14.5" x14ac:dyDescent="0.35"/>
  <cols>
    <col min="3" max="3" width="16.453125" customWidth="1"/>
    <col min="4" max="4" width="8" style="23" customWidth="1"/>
    <col min="6" max="6" width="21.81640625" customWidth="1"/>
    <col min="7" max="7" width="21.453125" customWidth="1"/>
    <col min="8" max="8" width="14.1796875" customWidth="1"/>
  </cols>
  <sheetData>
    <row r="1" spans="1:9" ht="43.5" x14ac:dyDescent="0.35">
      <c r="A1" s="358" t="s">
        <v>15</v>
      </c>
      <c r="B1" s="358" t="s">
        <v>1</v>
      </c>
      <c r="C1" s="359" t="s">
        <v>508</v>
      </c>
      <c r="D1" s="359" t="s">
        <v>509</v>
      </c>
      <c r="E1" s="360" t="s">
        <v>510</v>
      </c>
      <c r="F1" s="360" t="s">
        <v>511</v>
      </c>
      <c r="G1" s="360" t="s">
        <v>512</v>
      </c>
      <c r="H1" s="360" t="s">
        <v>513</v>
      </c>
      <c r="I1" s="360" t="s">
        <v>700</v>
      </c>
    </row>
    <row r="2" spans="1:9" x14ac:dyDescent="0.35">
      <c r="A2" t="s">
        <v>223</v>
      </c>
      <c r="B2" t="s">
        <v>514</v>
      </c>
      <c r="C2" s="23" t="s">
        <v>214</v>
      </c>
      <c r="D2" s="23" t="s">
        <v>515</v>
      </c>
      <c r="E2" t="s">
        <v>516</v>
      </c>
      <c r="F2" t="s">
        <v>517</v>
      </c>
      <c r="G2" t="s">
        <v>518</v>
      </c>
      <c r="H2" s="361" t="s">
        <v>519</v>
      </c>
      <c r="I2" s="361" t="s">
        <v>701</v>
      </c>
    </row>
    <row r="3" spans="1:9" x14ac:dyDescent="0.35">
      <c r="A3" t="s">
        <v>223</v>
      </c>
      <c r="B3" t="s">
        <v>514</v>
      </c>
      <c r="C3" s="23" t="s">
        <v>214</v>
      </c>
      <c r="D3" s="23" t="s">
        <v>515</v>
      </c>
      <c r="E3" t="s">
        <v>520</v>
      </c>
      <c r="F3" t="s">
        <v>521</v>
      </c>
      <c r="G3" t="s">
        <v>522</v>
      </c>
      <c r="H3" s="361" t="s">
        <v>523</v>
      </c>
      <c r="I3" s="361" t="s">
        <v>702</v>
      </c>
    </row>
    <row r="4" spans="1:9" x14ac:dyDescent="0.35">
      <c r="A4" t="s">
        <v>223</v>
      </c>
      <c r="B4" t="s">
        <v>514</v>
      </c>
      <c r="C4" s="23" t="s">
        <v>214</v>
      </c>
      <c r="D4" s="23" t="s">
        <v>515</v>
      </c>
      <c r="E4" t="s">
        <v>524</v>
      </c>
      <c r="F4" t="s">
        <v>525</v>
      </c>
      <c r="G4" t="s">
        <v>526</v>
      </c>
      <c r="H4" s="361" t="s">
        <v>527</v>
      </c>
      <c r="I4" s="361" t="s">
        <v>703</v>
      </c>
    </row>
    <row r="5" spans="1:9" x14ac:dyDescent="0.35">
      <c r="A5" t="s">
        <v>223</v>
      </c>
      <c r="B5" t="s">
        <v>514</v>
      </c>
      <c r="C5" s="23" t="s">
        <v>214</v>
      </c>
      <c r="D5" s="23" t="s">
        <v>515</v>
      </c>
      <c r="E5" t="s">
        <v>528</v>
      </c>
      <c r="F5" t="s">
        <v>529</v>
      </c>
      <c r="G5" t="s">
        <v>530</v>
      </c>
      <c r="H5" s="361" t="s">
        <v>527</v>
      </c>
      <c r="I5" s="361" t="s">
        <v>704</v>
      </c>
    </row>
    <row r="6" spans="1:9" x14ac:dyDescent="0.35">
      <c r="A6" t="s">
        <v>223</v>
      </c>
      <c r="B6" t="s">
        <v>514</v>
      </c>
      <c r="C6" s="23" t="s">
        <v>214</v>
      </c>
      <c r="D6" s="23" t="s">
        <v>515</v>
      </c>
      <c r="E6" t="s">
        <v>531</v>
      </c>
      <c r="F6" t="s">
        <v>532</v>
      </c>
      <c r="G6" t="s">
        <v>533</v>
      </c>
      <c r="H6" s="361" t="s">
        <v>527</v>
      </c>
      <c r="I6" s="361" t="s">
        <v>705</v>
      </c>
    </row>
    <row r="7" spans="1:9" x14ac:dyDescent="0.35">
      <c r="A7" s="362" t="s">
        <v>223</v>
      </c>
      <c r="B7" s="362" t="s">
        <v>514</v>
      </c>
      <c r="C7" s="363" t="s">
        <v>214</v>
      </c>
      <c r="D7" s="363" t="s">
        <v>534</v>
      </c>
      <c r="E7" s="362" t="s">
        <v>516</v>
      </c>
      <c r="F7" s="362" t="s">
        <v>517</v>
      </c>
      <c r="G7" s="362" t="s">
        <v>518</v>
      </c>
      <c r="H7" s="364" t="s">
        <v>519</v>
      </c>
      <c r="I7" s="364" t="s">
        <v>706</v>
      </c>
    </row>
    <row r="8" spans="1:9" x14ac:dyDescent="0.35">
      <c r="A8" s="362" t="s">
        <v>223</v>
      </c>
      <c r="B8" s="362" t="s">
        <v>514</v>
      </c>
      <c r="C8" s="363" t="s">
        <v>214</v>
      </c>
      <c r="D8" s="363" t="s">
        <v>534</v>
      </c>
      <c r="E8" s="362" t="s">
        <v>520</v>
      </c>
      <c r="F8" s="362" t="s">
        <v>521</v>
      </c>
      <c r="G8" s="362" t="s">
        <v>522</v>
      </c>
      <c r="H8" s="364" t="s">
        <v>523</v>
      </c>
      <c r="I8" s="364" t="s">
        <v>707</v>
      </c>
    </row>
    <row r="9" spans="1:9" s="357" customFormat="1" x14ac:dyDescent="0.35">
      <c r="C9" s="354"/>
      <c r="D9" s="354"/>
      <c r="H9" s="371"/>
      <c r="I9" s="364"/>
    </row>
    <row r="10" spans="1:9" x14ac:dyDescent="0.35">
      <c r="A10" s="365" t="s">
        <v>535</v>
      </c>
      <c r="B10" s="365" t="s">
        <v>536</v>
      </c>
      <c r="C10" s="23" t="s">
        <v>193</v>
      </c>
      <c r="D10" s="23" t="s">
        <v>515</v>
      </c>
      <c r="E10" t="s">
        <v>537</v>
      </c>
      <c r="F10" t="s">
        <v>538</v>
      </c>
      <c r="G10" t="s">
        <v>539</v>
      </c>
      <c r="H10" s="361" t="s">
        <v>519</v>
      </c>
      <c r="I10" s="361" t="s">
        <v>708</v>
      </c>
    </row>
    <row r="11" spans="1:9" x14ac:dyDescent="0.35">
      <c r="A11" s="366" t="s">
        <v>535</v>
      </c>
      <c r="B11" s="366" t="s">
        <v>536</v>
      </c>
      <c r="C11" s="363" t="s">
        <v>193</v>
      </c>
      <c r="D11" s="363" t="s">
        <v>540</v>
      </c>
      <c r="E11" s="362" t="s">
        <v>541</v>
      </c>
      <c r="F11" s="362" t="s">
        <v>542</v>
      </c>
      <c r="G11" s="362" t="s">
        <v>543</v>
      </c>
      <c r="H11" s="364" t="s">
        <v>527</v>
      </c>
      <c r="I11" s="364" t="s">
        <v>709</v>
      </c>
    </row>
    <row r="12" spans="1:9" x14ac:dyDescent="0.35">
      <c r="A12" s="366" t="s">
        <v>535</v>
      </c>
      <c r="B12" s="366" t="s">
        <v>536</v>
      </c>
      <c r="C12" s="363" t="s">
        <v>193</v>
      </c>
      <c r="D12" s="363" t="s">
        <v>540</v>
      </c>
      <c r="E12" s="362" t="s">
        <v>537</v>
      </c>
      <c r="F12" s="362" t="s">
        <v>544</v>
      </c>
      <c r="G12" s="362" t="s">
        <v>545</v>
      </c>
      <c r="H12" s="364" t="s">
        <v>527</v>
      </c>
      <c r="I12" s="364" t="s">
        <v>710</v>
      </c>
    </row>
    <row r="13" spans="1:9" x14ac:dyDescent="0.35">
      <c r="A13" s="366" t="s">
        <v>535</v>
      </c>
      <c r="B13" s="366" t="s">
        <v>536</v>
      </c>
      <c r="C13" s="363" t="s">
        <v>193</v>
      </c>
      <c r="D13" s="363" t="s">
        <v>540</v>
      </c>
      <c r="E13" s="362" t="s">
        <v>547</v>
      </c>
      <c r="F13" s="362" t="s">
        <v>548</v>
      </c>
      <c r="G13" s="362" t="s">
        <v>549</v>
      </c>
      <c r="H13" s="364" t="s">
        <v>527</v>
      </c>
      <c r="I13" s="364" t="s">
        <v>711</v>
      </c>
    </row>
    <row r="14" spans="1:9" x14ac:dyDescent="0.35">
      <c r="A14" s="366" t="s">
        <v>535</v>
      </c>
      <c r="B14" s="366" t="s">
        <v>536</v>
      </c>
      <c r="C14" s="363" t="s">
        <v>193</v>
      </c>
      <c r="D14" s="363" t="s">
        <v>540</v>
      </c>
      <c r="E14" s="362" t="s">
        <v>531</v>
      </c>
      <c r="F14" s="362" t="s">
        <v>550</v>
      </c>
      <c r="G14" s="362" t="s">
        <v>551</v>
      </c>
      <c r="H14" s="364" t="s">
        <v>527</v>
      </c>
      <c r="I14" s="364" t="s">
        <v>712</v>
      </c>
    </row>
    <row r="15" spans="1:9" x14ac:dyDescent="0.35">
      <c r="A15" s="366" t="s">
        <v>535</v>
      </c>
      <c r="B15" s="366" t="s">
        <v>536</v>
      </c>
      <c r="C15" s="363" t="s">
        <v>193</v>
      </c>
      <c r="D15" s="363" t="s">
        <v>540</v>
      </c>
      <c r="E15" s="362" t="s">
        <v>531</v>
      </c>
      <c r="F15" s="362" t="s">
        <v>552</v>
      </c>
      <c r="G15" s="362" t="s">
        <v>553</v>
      </c>
      <c r="H15" s="364" t="s">
        <v>527</v>
      </c>
      <c r="I15" s="364" t="s">
        <v>713</v>
      </c>
    </row>
    <row r="16" spans="1:9" x14ac:dyDescent="0.35">
      <c r="A16" s="366" t="s">
        <v>535</v>
      </c>
      <c r="B16" s="366" t="s">
        <v>536</v>
      </c>
      <c r="C16" s="363" t="s">
        <v>193</v>
      </c>
      <c r="D16" s="363" t="s">
        <v>540</v>
      </c>
      <c r="E16" s="362" t="s">
        <v>531</v>
      </c>
      <c r="F16" s="362" t="s">
        <v>554</v>
      </c>
      <c r="G16" s="362" t="s">
        <v>555</v>
      </c>
      <c r="H16" s="364" t="s">
        <v>527</v>
      </c>
      <c r="I16" s="364" t="s">
        <v>714</v>
      </c>
    </row>
    <row r="17" spans="1:9" s="357" customFormat="1" x14ac:dyDescent="0.35">
      <c r="A17" s="372"/>
      <c r="B17" s="372"/>
      <c r="C17" s="354"/>
      <c r="D17" s="354"/>
      <c r="H17" s="371"/>
      <c r="I17" s="364"/>
    </row>
    <row r="18" spans="1:9" x14ac:dyDescent="0.35">
      <c r="A18" s="365" t="s">
        <v>259</v>
      </c>
      <c r="B18" s="365" t="s">
        <v>556</v>
      </c>
      <c r="C18" s="23" t="s">
        <v>260</v>
      </c>
      <c r="D18" s="23" t="s">
        <v>515</v>
      </c>
      <c r="E18" t="s">
        <v>516</v>
      </c>
      <c r="F18" t="s">
        <v>557</v>
      </c>
      <c r="G18" t="s">
        <v>558</v>
      </c>
      <c r="H18" s="361" t="s">
        <v>519</v>
      </c>
      <c r="I18" s="361" t="s">
        <v>715</v>
      </c>
    </row>
    <row r="19" spans="1:9" x14ac:dyDescent="0.35">
      <c r="A19" s="365" t="s">
        <v>259</v>
      </c>
      <c r="B19" s="365" t="s">
        <v>556</v>
      </c>
      <c r="C19" s="23" t="s">
        <v>260</v>
      </c>
      <c r="D19" s="23" t="s">
        <v>515</v>
      </c>
      <c r="E19" t="s">
        <v>559</v>
      </c>
      <c r="F19" t="s">
        <v>560</v>
      </c>
      <c r="G19" t="s">
        <v>561</v>
      </c>
      <c r="H19" s="361" t="s">
        <v>527</v>
      </c>
      <c r="I19" s="361" t="s">
        <v>716</v>
      </c>
    </row>
    <row r="20" spans="1:9" x14ac:dyDescent="0.35">
      <c r="A20" s="365" t="s">
        <v>259</v>
      </c>
      <c r="B20" s="365" t="s">
        <v>556</v>
      </c>
      <c r="C20" s="23" t="s">
        <v>260</v>
      </c>
      <c r="D20" s="23" t="s">
        <v>515</v>
      </c>
      <c r="E20" t="s">
        <v>562</v>
      </c>
      <c r="F20" t="s">
        <v>563</v>
      </c>
      <c r="G20" t="s">
        <v>564</v>
      </c>
      <c r="H20" s="361" t="s">
        <v>527</v>
      </c>
      <c r="I20" s="361" t="s">
        <v>717</v>
      </c>
    </row>
    <row r="21" spans="1:9" x14ac:dyDescent="0.35">
      <c r="A21" s="365" t="s">
        <v>259</v>
      </c>
      <c r="B21" s="365" t="s">
        <v>556</v>
      </c>
      <c r="C21" s="23" t="s">
        <v>260</v>
      </c>
      <c r="D21" s="23" t="s">
        <v>515</v>
      </c>
      <c r="E21" t="s">
        <v>531</v>
      </c>
      <c r="F21" t="s">
        <v>565</v>
      </c>
      <c r="G21" t="s">
        <v>566</v>
      </c>
      <c r="H21" s="361" t="s">
        <v>527</v>
      </c>
      <c r="I21" s="361" t="s">
        <v>718</v>
      </c>
    </row>
    <row r="22" spans="1:9" x14ac:dyDescent="0.35">
      <c r="A22" s="366" t="s">
        <v>259</v>
      </c>
      <c r="B22" s="366" t="s">
        <v>556</v>
      </c>
      <c r="C22" s="363" t="s">
        <v>260</v>
      </c>
      <c r="D22" s="363" t="s">
        <v>534</v>
      </c>
      <c r="E22" s="362" t="s">
        <v>516</v>
      </c>
      <c r="F22" s="362" t="s">
        <v>557</v>
      </c>
      <c r="G22" s="362" t="s">
        <v>558</v>
      </c>
      <c r="H22" s="364" t="s">
        <v>519</v>
      </c>
      <c r="I22" s="364" t="s">
        <v>719</v>
      </c>
    </row>
    <row r="23" spans="1:9" x14ac:dyDescent="0.35">
      <c r="A23" s="366" t="s">
        <v>259</v>
      </c>
      <c r="B23" s="366" t="s">
        <v>556</v>
      </c>
      <c r="C23" s="363" t="s">
        <v>260</v>
      </c>
      <c r="D23" s="363" t="s">
        <v>534</v>
      </c>
      <c r="E23" s="362" t="s">
        <v>559</v>
      </c>
      <c r="F23" s="362" t="s">
        <v>560</v>
      </c>
      <c r="G23" s="362" t="s">
        <v>561</v>
      </c>
      <c r="H23" s="364" t="s">
        <v>527</v>
      </c>
      <c r="I23" s="364" t="s">
        <v>720</v>
      </c>
    </row>
    <row r="24" spans="1:9" x14ac:dyDescent="0.35">
      <c r="A24" s="366" t="s">
        <v>259</v>
      </c>
      <c r="B24" s="366" t="s">
        <v>556</v>
      </c>
      <c r="C24" s="363" t="s">
        <v>260</v>
      </c>
      <c r="D24" s="363" t="s">
        <v>534</v>
      </c>
      <c r="E24" s="362" t="s">
        <v>562</v>
      </c>
      <c r="F24" s="362" t="s">
        <v>563</v>
      </c>
      <c r="G24" s="362" t="s">
        <v>564</v>
      </c>
      <c r="H24" s="364" t="s">
        <v>527</v>
      </c>
      <c r="I24" s="364" t="s">
        <v>721</v>
      </c>
    </row>
    <row r="25" spans="1:9" x14ac:dyDescent="0.35">
      <c r="A25" s="366" t="s">
        <v>259</v>
      </c>
      <c r="B25" s="366" t="s">
        <v>556</v>
      </c>
      <c r="C25" s="363" t="s">
        <v>260</v>
      </c>
      <c r="D25" s="363" t="s">
        <v>534</v>
      </c>
      <c r="E25" s="362" t="s">
        <v>531</v>
      </c>
      <c r="F25" s="362" t="s">
        <v>565</v>
      </c>
      <c r="G25" s="362" t="s">
        <v>566</v>
      </c>
      <c r="H25" s="364" t="s">
        <v>527</v>
      </c>
      <c r="I25" s="364" t="s">
        <v>722</v>
      </c>
    </row>
    <row r="26" spans="1:9" s="357" customFormat="1" x14ac:dyDescent="0.35">
      <c r="A26" s="372"/>
      <c r="B26" s="372"/>
      <c r="C26" s="354"/>
      <c r="D26" s="354"/>
      <c r="H26" s="371"/>
      <c r="I26" s="364"/>
    </row>
    <row r="27" spans="1:9" x14ac:dyDescent="0.35">
      <c r="A27" t="s">
        <v>142</v>
      </c>
      <c r="B27" t="s">
        <v>567</v>
      </c>
      <c r="C27" s="23" t="s">
        <v>172</v>
      </c>
      <c r="D27" s="23" t="s">
        <v>515</v>
      </c>
      <c r="E27" t="s">
        <v>537</v>
      </c>
      <c r="F27" t="s">
        <v>538</v>
      </c>
      <c r="G27" t="s">
        <v>539</v>
      </c>
      <c r="H27" s="361" t="s">
        <v>519</v>
      </c>
      <c r="I27" s="373" t="s">
        <v>723</v>
      </c>
    </row>
    <row r="28" spans="1:9" x14ac:dyDescent="0.35">
      <c r="A28" s="367" t="s">
        <v>142</v>
      </c>
      <c r="B28" s="367" t="s">
        <v>567</v>
      </c>
      <c r="C28" s="368" t="s">
        <v>172</v>
      </c>
      <c r="D28" s="368" t="s">
        <v>546</v>
      </c>
      <c r="E28" s="369" t="s">
        <v>537</v>
      </c>
      <c r="F28" s="369" t="s">
        <v>538</v>
      </c>
      <c r="G28" s="369" t="s">
        <v>539</v>
      </c>
      <c r="H28" s="370" t="s">
        <v>519</v>
      </c>
      <c r="I28" s="370" t="s">
        <v>720</v>
      </c>
    </row>
    <row r="29" spans="1:9" x14ac:dyDescent="0.35">
      <c r="A29" s="367" t="s">
        <v>142</v>
      </c>
      <c r="B29" s="367" t="s">
        <v>567</v>
      </c>
      <c r="C29" s="368" t="s">
        <v>172</v>
      </c>
      <c r="D29" s="368" t="s">
        <v>546</v>
      </c>
      <c r="E29" s="369" t="s">
        <v>547</v>
      </c>
      <c r="F29" s="369" t="s">
        <v>568</v>
      </c>
      <c r="G29" s="369" t="s">
        <v>569</v>
      </c>
      <c r="H29" s="370" t="s">
        <v>527</v>
      </c>
      <c r="I29" s="370" t="s">
        <v>724</v>
      </c>
    </row>
    <row r="30" spans="1:9" x14ac:dyDescent="0.35">
      <c r="A30" s="362" t="s">
        <v>142</v>
      </c>
      <c r="B30" s="362" t="s">
        <v>567</v>
      </c>
      <c r="C30" s="363" t="s">
        <v>172</v>
      </c>
      <c r="D30" s="363" t="s">
        <v>534</v>
      </c>
      <c r="E30" s="362" t="s">
        <v>570</v>
      </c>
      <c r="F30" s="362" t="s">
        <v>570</v>
      </c>
      <c r="G30" s="362" t="s">
        <v>570</v>
      </c>
      <c r="H30" s="364" t="s">
        <v>570</v>
      </c>
      <c r="I30" s="364">
        <v>0</v>
      </c>
    </row>
    <row r="31" spans="1:9" s="357" customFormat="1" x14ac:dyDescent="0.35">
      <c r="C31" s="354"/>
      <c r="D31" s="354"/>
      <c r="H31" s="371"/>
      <c r="I31" s="364"/>
    </row>
    <row r="32" spans="1:9" x14ac:dyDescent="0.35">
      <c r="A32" s="365" t="s">
        <v>312</v>
      </c>
      <c r="B32" s="365" t="s">
        <v>571</v>
      </c>
      <c r="C32" s="23" t="s">
        <v>324</v>
      </c>
      <c r="D32" s="23" t="s">
        <v>515</v>
      </c>
      <c r="E32" t="s">
        <v>572</v>
      </c>
      <c r="F32" t="s">
        <v>573</v>
      </c>
      <c r="G32" t="s">
        <v>574</v>
      </c>
      <c r="H32" s="361" t="s">
        <v>523</v>
      </c>
      <c r="I32" s="361" t="s">
        <v>725</v>
      </c>
    </row>
    <row r="33" spans="1:9" x14ac:dyDescent="0.35">
      <c r="A33" s="365" t="s">
        <v>312</v>
      </c>
      <c r="B33" s="365" t="s">
        <v>571</v>
      </c>
      <c r="C33" s="23" t="s">
        <v>324</v>
      </c>
      <c r="D33" s="23" t="s">
        <v>515</v>
      </c>
      <c r="E33" t="s">
        <v>537</v>
      </c>
      <c r="F33" t="s">
        <v>538</v>
      </c>
      <c r="G33" t="s">
        <v>539</v>
      </c>
      <c r="H33" s="361" t="s">
        <v>519</v>
      </c>
      <c r="I33" s="361" t="s">
        <v>726</v>
      </c>
    </row>
    <row r="34" spans="1:9" x14ac:dyDescent="0.35">
      <c r="A34" s="365" t="s">
        <v>312</v>
      </c>
      <c r="B34" s="365" t="s">
        <v>571</v>
      </c>
      <c r="C34" s="23" t="s">
        <v>324</v>
      </c>
      <c r="D34" s="23" t="s">
        <v>515</v>
      </c>
      <c r="E34" t="s">
        <v>531</v>
      </c>
      <c r="F34" t="s">
        <v>575</v>
      </c>
      <c r="G34" t="s">
        <v>576</v>
      </c>
      <c r="H34" s="361" t="s">
        <v>527</v>
      </c>
      <c r="I34" s="361" t="s">
        <v>727</v>
      </c>
    </row>
    <row r="35" spans="1:9" x14ac:dyDescent="0.35">
      <c r="A35" s="366" t="s">
        <v>312</v>
      </c>
      <c r="B35" s="366" t="s">
        <v>571</v>
      </c>
      <c r="C35" s="363" t="s">
        <v>324</v>
      </c>
      <c r="D35" s="363" t="s">
        <v>534</v>
      </c>
      <c r="E35" s="362" t="s">
        <v>572</v>
      </c>
      <c r="F35" s="362" t="s">
        <v>573</v>
      </c>
      <c r="G35" s="362" t="s">
        <v>574</v>
      </c>
      <c r="H35" s="364" t="s">
        <v>523</v>
      </c>
      <c r="I35" s="364" t="s">
        <v>728</v>
      </c>
    </row>
    <row r="36" spans="1:9" x14ac:dyDescent="0.35">
      <c r="A36" s="366" t="s">
        <v>312</v>
      </c>
      <c r="B36" s="366" t="s">
        <v>571</v>
      </c>
      <c r="C36" s="363" t="s">
        <v>324</v>
      </c>
      <c r="D36" s="363" t="s">
        <v>534</v>
      </c>
      <c r="E36" s="362" t="s">
        <v>537</v>
      </c>
      <c r="F36" s="362" t="s">
        <v>538</v>
      </c>
      <c r="G36" s="362" t="s">
        <v>539</v>
      </c>
      <c r="H36" s="364" t="s">
        <v>519</v>
      </c>
      <c r="I36" s="364" t="s">
        <v>722</v>
      </c>
    </row>
    <row r="37" spans="1:9" x14ac:dyDescent="0.35">
      <c r="A37" s="366" t="s">
        <v>312</v>
      </c>
      <c r="B37" s="366" t="s">
        <v>571</v>
      </c>
      <c r="C37" s="363" t="s">
        <v>324</v>
      </c>
      <c r="D37" s="363" t="s">
        <v>534</v>
      </c>
      <c r="E37" s="362" t="s">
        <v>531</v>
      </c>
      <c r="F37" s="362" t="s">
        <v>575</v>
      </c>
      <c r="G37" s="362" t="s">
        <v>576</v>
      </c>
      <c r="H37" s="364" t="s">
        <v>527</v>
      </c>
      <c r="I37" s="364" t="s">
        <v>729</v>
      </c>
    </row>
    <row r="38" spans="1:9" s="357" customFormat="1" x14ac:dyDescent="0.35">
      <c r="A38" s="372"/>
      <c r="B38" s="372"/>
      <c r="C38" s="354"/>
      <c r="D38" s="354"/>
      <c r="H38" s="371"/>
      <c r="I38" s="364"/>
    </row>
    <row r="39" spans="1:9" x14ac:dyDescent="0.35">
      <c r="A39" t="s">
        <v>310</v>
      </c>
      <c r="B39" t="s">
        <v>577</v>
      </c>
      <c r="C39" s="23" t="s">
        <v>318</v>
      </c>
      <c r="D39" s="23" t="s">
        <v>515</v>
      </c>
      <c r="E39" t="s">
        <v>516</v>
      </c>
      <c r="F39" t="s">
        <v>578</v>
      </c>
      <c r="G39" t="s">
        <v>579</v>
      </c>
      <c r="H39" s="361" t="s">
        <v>519</v>
      </c>
      <c r="I39" s="361" t="s">
        <v>730</v>
      </c>
    </row>
    <row r="40" spans="1:9" x14ac:dyDescent="0.35">
      <c r="A40" t="s">
        <v>310</v>
      </c>
      <c r="B40" t="s">
        <v>577</v>
      </c>
      <c r="C40" s="23" t="s">
        <v>318</v>
      </c>
      <c r="D40" s="23" t="s">
        <v>515</v>
      </c>
      <c r="E40" t="s">
        <v>531</v>
      </c>
      <c r="F40" t="s">
        <v>580</v>
      </c>
      <c r="G40" t="s">
        <v>581</v>
      </c>
      <c r="H40" s="361" t="s">
        <v>527</v>
      </c>
      <c r="I40" s="361" t="s">
        <v>731</v>
      </c>
    </row>
    <row r="41" spans="1:9" x14ac:dyDescent="0.35">
      <c r="A41" s="362" t="s">
        <v>310</v>
      </c>
      <c r="B41" s="362" t="s">
        <v>577</v>
      </c>
      <c r="C41" s="363" t="s">
        <v>318</v>
      </c>
      <c r="D41" s="363" t="s">
        <v>534</v>
      </c>
      <c r="E41" s="362" t="s">
        <v>516</v>
      </c>
      <c r="F41" s="362" t="s">
        <v>578</v>
      </c>
      <c r="G41" s="362" t="s">
        <v>579</v>
      </c>
      <c r="H41" s="364" t="s">
        <v>519</v>
      </c>
      <c r="I41" s="364" t="s">
        <v>732</v>
      </c>
    </row>
    <row r="42" spans="1:9" x14ac:dyDescent="0.35">
      <c r="A42" s="362" t="s">
        <v>310</v>
      </c>
      <c r="B42" s="362" t="s">
        <v>577</v>
      </c>
      <c r="C42" s="363" t="s">
        <v>318</v>
      </c>
      <c r="D42" s="363" t="s">
        <v>534</v>
      </c>
      <c r="E42" s="362" t="s">
        <v>531</v>
      </c>
      <c r="F42" s="362" t="s">
        <v>580</v>
      </c>
      <c r="G42" s="362" t="s">
        <v>581</v>
      </c>
      <c r="H42" s="364" t="s">
        <v>527</v>
      </c>
      <c r="I42" s="364" t="s">
        <v>733</v>
      </c>
    </row>
    <row r="43" spans="1:9" s="357" customFormat="1" x14ac:dyDescent="0.35">
      <c r="C43" s="354"/>
      <c r="D43" s="354"/>
      <c r="H43" s="371"/>
      <c r="I43" s="364"/>
    </row>
    <row r="44" spans="1:9" x14ac:dyDescent="0.35">
      <c r="A44" t="s">
        <v>582</v>
      </c>
      <c r="B44" t="s">
        <v>583</v>
      </c>
      <c r="C44" s="23" t="s">
        <v>152</v>
      </c>
      <c r="D44" s="23" t="s">
        <v>515</v>
      </c>
      <c r="E44" t="s">
        <v>537</v>
      </c>
      <c r="F44" t="s">
        <v>538</v>
      </c>
      <c r="G44" t="s">
        <v>539</v>
      </c>
      <c r="H44" s="361" t="s">
        <v>519</v>
      </c>
      <c r="I44" s="361" t="s">
        <v>734</v>
      </c>
    </row>
    <row r="45" spans="1:9" x14ac:dyDescent="0.35">
      <c r="A45" s="362" t="s">
        <v>582</v>
      </c>
      <c r="B45" s="362" t="s">
        <v>583</v>
      </c>
      <c r="C45" s="363" t="s">
        <v>152</v>
      </c>
      <c r="D45" s="363" t="s">
        <v>534</v>
      </c>
      <c r="E45" s="362" t="s">
        <v>537</v>
      </c>
      <c r="F45" s="362" t="s">
        <v>538</v>
      </c>
      <c r="G45" s="362" t="s">
        <v>539</v>
      </c>
      <c r="H45" s="364" t="s">
        <v>519</v>
      </c>
      <c r="I45" s="364" t="s">
        <v>735</v>
      </c>
    </row>
    <row r="46" spans="1:9" s="357" customFormat="1" x14ac:dyDescent="0.35">
      <c r="C46" s="354"/>
      <c r="D46" s="354"/>
      <c r="H46" s="371"/>
      <c r="I46" s="364"/>
    </row>
    <row r="47" spans="1:9" x14ac:dyDescent="0.35">
      <c r="A47" t="s">
        <v>303</v>
      </c>
      <c r="B47" t="s">
        <v>584</v>
      </c>
      <c r="C47" s="23" t="s">
        <v>308</v>
      </c>
      <c r="D47" s="23" t="s">
        <v>515</v>
      </c>
      <c r="E47" t="s">
        <v>541</v>
      </c>
      <c r="F47" t="s">
        <v>585</v>
      </c>
      <c r="G47" t="s">
        <v>586</v>
      </c>
      <c r="H47" s="361" t="s">
        <v>527</v>
      </c>
      <c r="I47" s="361" t="s">
        <v>736</v>
      </c>
    </row>
    <row r="48" spans="1:9" x14ac:dyDescent="0.35">
      <c r="A48" t="s">
        <v>303</v>
      </c>
      <c r="B48" t="s">
        <v>584</v>
      </c>
      <c r="C48" s="23" t="s">
        <v>308</v>
      </c>
      <c r="D48" s="23" t="s">
        <v>515</v>
      </c>
      <c r="E48" t="s">
        <v>537</v>
      </c>
      <c r="F48" t="s">
        <v>538</v>
      </c>
      <c r="G48" t="s">
        <v>539</v>
      </c>
      <c r="H48" s="361" t="s">
        <v>519</v>
      </c>
      <c r="I48" s="361" t="s">
        <v>737</v>
      </c>
    </row>
    <row r="49" spans="1:9" x14ac:dyDescent="0.35">
      <c r="A49" t="s">
        <v>303</v>
      </c>
      <c r="B49" t="s">
        <v>584</v>
      </c>
      <c r="C49" s="23" t="s">
        <v>308</v>
      </c>
      <c r="D49" s="23" t="s">
        <v>515</v>
      </c>
      <c r="E49" t="s">
        <v>547</v>
      </c>
      <c r="F49" t="s">
        <v>587</v>
      </c>
      <c r="G49" t="s">
        <v>588</v>
      </c>
      <c r="H49" s="361" t="s">
        <v>527</v>
      </c>
      <c r="I49" s="361" t="s">
        <v>738</v>
      </c>
    </row>
    <row r="50" spans="1:9" x14ac:dyDescent="0.35">
      <c r="A50" s="362" t="s">
        <v>303</v>
      </c>
      <c r="B50" s="362" t="s">
        <v>584</v>
      </c>
      <c r="C50" s="363" t="s">
        <v>308</v>
      </c>
      <c r="D50" s="363" t="s">
        <v>534</v>
      </c>
      <c r="E50" s="362" t="s">
        <v>589</v>
      </c>
      <c r="F50" s="362" t="s">
        <v>590</v>
      </c>
      <c r="G50" s="362" t="s">
        <v>591</v>
      </c>
      <c r="H50" s="364" t="s">
        <v>527</v>
      </c>
      <c r="I50" s="364" t="s">
        <v>739</v>
      </c>
    </row>
    <row r="51" spans="1:9" x14ac:dyDescent="0.35">
      <c r="A51" s="362" t="s">
        <v>303</v>
      </c>
      <c r="B51" s="362" t="s">
        <v>584</v>
      </c>
      <c r="C51" s="363" t="s">
        <v>308</v>
      </c>
      <c r="D51" s="363" t="s">
        <v>534</v>
      </c>
      <c r="E51" s="362" t="s">
        <v>531</v>
      </c>
      <c r="F51" s="362" t="s">
        <v>592</v>
      </c>
      <c r="G51" s="362" t="s">
        <v>576</v>
      </c>
      <c r="H51" s="364" t="s">
        <v>527</v>
      </c>
      <c r="I51" s="364" t="s">
        <v>740</v>
      </c>
    </row>
    <row r="52" spans="1:9" s="357" customFormat="1" x14ac:dyDescent="0.35">
      <c r="C52" s="354"/>
      <c r="D52" s="354"/>
      <c r="H52" s="371"/>
      <c r="I52" s="364"/>
    </row>
    <row r="53" spans="1:9" x14ac:dyDescent="0.35">
      <c r="A53" t="s">
        <v>593</v>
      </c>
      <c r="B53" t="s">
        <v>594</v>
      </c>
      <c r="C53" s="23" t="s">
        <v>157</v>
      </c>
      <c r="D53" s="23" t="s">
        <v>515</v>
      </c>
      <c r="E53" t="s">
        <v>516</v>
      </c>
      <c r="F53" t="s">
        <v>517</v>
      </c>
      <c r="G53" t="s">
        <v>518</v>
      </c>
      <c r="H53" s="361" t="s">
        <v>519</v>
      </c>
      <c r="I53" s="361" t="s">
        <v>741</v>
      </c>
    </row>
    <row r="54" spans="1:9" x14ac:dyDescent="0.35">
      <c r="A54" s="362" t="s">
        <v>593</v>
      </c>
      <c r="B54" s="362" t="s">
        <v>594</v>
      </c>
      <c r="C54" s="363" t="s">
        <v>157</v>
      </c>
      <c r="D54" s="363" t="s">
        <v>534</v>
      </c>
      <c r="E54" s="362" t="s">
        <v>516</v>
      </c>
      <c r="F54" s="362" t="s">
        <v>517</v>
      </c>
      <c r="G54" s="362" t="s">
        <v>518</v>
      </c>
      <c r="H54" s="364" t="s">
        <v>519</v>
      </c>
      <c r="I54" s="364" t="s">
        <v>742</v>
      </c>
    </row>
    <row r="55" spans="1:9" x14ac:dyDescent="0.35">
      <c r="A55" s="362" t="s">
        <v>593</v>
      </c>
      <c r="B55" s="362" t="s">
        <v>594</v>
      </c>
      <c r="C55" s="363" t="s">
        <v>157</v>
      </c>
      <c r="D55" s="363" t="s">
        <v>534</v>
      </c>
      <c r="E55" s="362" t="s">
        <v>531</v>
      </c>
      <c r="F55" s="362" t="s">
        <v>595</v>
      </c>
      <c r="G55" s="362" t="s">
        <v>596</v>
      </c>
      <c r="H55" s="364" t="s">
        <v>527</v>
      </c>
      <c r="I55" s="364" t="s">
        <v>743</v>
      </c>
    </row>
    <row r="56" spans="1:9" s="357" customFormat="1" x14ac:dyDescent="0.35">
      <c r="C56" s="354"/>
      <c r="D56" s="354"/>
      <c r="H56" s="371"/>
      <c r="I56" s="364"/>
    </row>
    <row r="57" spans="1:9" x14ac:dyDescent="0.35">
      <c r="A57" t="s">
        <v>128</v>
      </c>
      <c r="B57" t="s">
        <v>597</v>
      </c>
      <c r="C57" s="23" t="s">
        <v>102</v>
      </c>
      <c r="D57" s="23" t="s">
        <v>515</v>
      </c>
      <c r="E57" t="s">
        <v>516</v>
      </c>
      <c r="F57" t="s">
        <v>598</v>
      </c>
      <c r="G57" t="s">
        <v>599</v>
      </c>
      <c r="H57" s="361" t="s">
        <v>527</v>
      </c>
      <c r="I57" s="361" t="s">
        <v>744</v>
      </c>
    </row>
    <row r="58" spans="1:9" x14ac:dyDescent="0.35">
      <c r="A58" t="s">
        <v>128</v>
      </c>
      <c r="B58" t="s">
        <v>597</v>
      </c>
      <c r="C58" s="23" t="s">
        <v>102</v>
      </c>
      <c r="D58" s="23" t="s">
        <v>515</v>
      </c>
      <c r="E58" t="s">
        <v>516</v>
      </c>
      <c r="F58" t="s">
        <v>517</v>
      </c>
      <c r="G58" t="s">
        <v>518</v>
      </c>
      <c r="H58" s="361" t="s">
        <v>519</v>
      </c>
      <c r="I58" s="361" t="s">
        <v>744</v>
      </c>
    </row>
    <row r="59" spans="1:9" x14ac:dyDescent="0.35">
      <c r="A59" t="s">
        <v>128</v>
      </c>
      <c r="B59" t="s">
        <v>597</v>
      </c>
      <c r="C59" s="23" t="s">
        <v>102</v>
      </c>
      <c r="D59" s="23" t="s">
        <v>515</v>
      </c>
      <c r="E59" t="s">
        <v>547</v>
      </c>
      <c r="F59" t="s">
        <v>600</v>
      </c>
      <c r="G59" t="s">
        <v>601</v>
      </c>
      <c r="H59" s="361" t="s">
        <v>527</v>
      </c>
      <c r="I59" s="361" t="s">
        <v>704</v>
      </c>
    </row>
    <row r="60" spans="1:9" x14ac:dyDescent="0.35">
      <c r="A60" s="362" t="s">
        <v>128</v>
      </c>
      <c r="B60" s="362" t="s">
        <v>597</v>
      </c>
      <c r="C60" s="363" t="s">
        <v>102</v>
      </c>
      <c r="D60" s="363" t="s">
        <v>534</v>
      </c>
      <c r="E60" s="362" t="s">
        <v>37</v>
      </c>
      <c r="F60" s="362" t="s">
        <v>37</v>
      </c>
      <c r="G60" s="362" t="s">
        <v>37</v>
      </c>
      <c r="H60" s="364" t="s">
        <v>602</v>
      </c>
      <c r="I60" s="364">
        <v>0</v>
      </c>
    </row>
    <row r="61" spans="1:9" s="357" customFormat="1" x14ac:dyDescent="0.35">
      <c r="C61" s="354"/>
      <c r="D61" s="354"/>
      <c r="H61" s="371"/>
      <c r="I61" s="364"/>
    </row>
    <row r="62" spans="1:9" x14ac:dyDescent="0.35">
      <c r="A62" s="365" t="s">
        <v>247</v>
      </c>
      <c r="B62" s="365" t="s">
        <v>603</v>
      </c>
      <c r="C62" s="23" t="s">
        <v>255</v>
      </c>
      <c r="D62" s="23" t="s">
        <v>515</v>
      </c>
      <c r="E62" t="s">
        <v>516</v>
      </c>
      <c r="F62" t="s">
        <v>604</v>
      </c>
      <c r="G62" t="s">
        <v>605</v>
      </c>
      <c r="H62" s="361" t="s">
        <v>519</v>
      </c>
      <c r="I62" s="361" t="s">
        <v>745</v>
      </c>
    </row>
    <row r="63" spans="1:9" x14ac:dyDescent="0.35">
      <c r="A63" s="365" t="s">
        <v>247</v>
      </c>
      <c r="B63" s="365" t="s">
        <v>603</v>
      </c>
      <c r="C63" s="23" t="s">
        <v>255</v>
      </c>
      <c r="D63" s="23" t="s">
        <v>515</v>
      </c>
      <c r="E63" t="s">
        <v>531</v>
      </c>
      <c r="F63" t="s">
        <v>606</v>
      </c>
      <c r="G63" t="s">
        <v>607</v>
      </c>
      <c r="H63" s="361" t="s">
        <v>527</v>
      </c>
      <c r="I63" s="361" t="s">
        <v>746</v>
      </c>
    </row>
    <row r="64" spans="1:9" x14ac:dyDescent="0.35">
      <c r="A64" s="366" t="s">
        <v>247</v>
      </c>
      <c r="B64" s="366" t="s">
        <v>603</v>
      </c>
      <c r="C64" s="363" t="s">
        <v>255</v>
      </c>
      <c r="D64" s="363" t="s">
        <v>534</v>
      </c>
      <c r="E64" s="362" t="s">
        <v>37</v>
      </c>
      <c r="F64" s="362" t="s">
        <v>37</v>
      </c>
      <c r="G64" s="362" t="s">
        <v>37</v>
      </c>
      <c r="H64" s="364" t="s">
        <v>602</v>
      </c>
      <c r="I64" s="364">
        <v>0</v>
      </c>
    </row>
    <row r="65" spans="1:9" s="357" customFormat="1" x14ac:dyDescent="0.35">
      <c r="A65" s="372"/>
      <c r="B65" s="372"/>
      <c r="C65" s="354"/>
      <c r="D65" s="354"/>
      <c r="H65" s="371"/>
      <c r="I65" s="364"/>
    </row>
    <row r="66" spans="1:9" x14ac:dyDescent="0.35">
      <c r="A66" s="365" t="s">
        <v>137</v>
      </c>
      <c r="B66" s="365" t="s">
        <v>608</v>
      </c>
      <c r="C66" s="23" t="s">
        <v>104</v>
      </c>
      <c r="D66" s="23" t="s">
        <v>515</v>
      </c>
      <c r="E66" t="s">
        <v>516</v>
      </c>
      <c r="F66" t="s">
        <v>557</v>
      </c>
      <c r="G66" t="s">
        <v>558</v>
      </c>
      <c r="H66" s="361" t="s">
        <v>519</v>
      </c>
      <c r="I66" s="361" t="s">
        <v>747</v>
      </c>
    </row>
    <row r="67" spans="1:9" x14ac:dyDescent="0.35">
      <c r="A67" s="366" t="s">
        <v>137</v>
      </c>
      <c r="B67" s="366" t="s">
        <v>608</v>
      </c>
      <c r="C67" s="363" t="s">
        <v>104</v>
      </c>
      <c r="D67" s="363" t="s">
        <v>540</v>
      </c>
      <c r="E67" s="362" t="s">
        <v>516</v>
      </c>
      <c r="F67" s="362" t="s">
        <v>557</v>
      </c>
      <c r="G67" s="362" t="s">
        <v>558</v>
      </c>
      <c r="H67" s="364" t="s">
        <v>519</v>
      </c>
      <c r="I67" s="364" t="s">
        <v>748</v>
      </c>
    </row>
    <row r="68" spans="1:9" s="357" customFormat="1" x14ac:dyDescent="0.35">
      <c r="A68" s="372"/>
      <c r="B68" s="372"/>
      <c r="C68" s="354"/>
      <c r="D68" s="354"/>
      <c r="H68" s="371"/>
      <c r="I68" s="364"/>
    </row>
    <row r="69" spans="1:9" x14ac:dyDescent="0.35">
      <c r="A69" s="365" t="s">
        <v>105</v>
      </c>
      <c r="B69" s="365" t="s">
        <v>609</v>
      </c>
      <c r="C69" s="23" t="s">
        <v>99</v>
      </c>
      <c r="D69" s="23" t="s">
        <v>515</v>
      </c>
      <c r="E69" t="s">
        <v>516</v>
      </c>
      <c r="F69" s="365" t="s">
        <v>610</v>
      </c>
      <c r="G69" s="365" t="s">
        <v>611</v>
      </c>
      <c r="H69" s="361" t="s">
        <v>519</v>
      </c>
      <c r="I69" s="361">
        <v>1.93</v>
      </c>
    </row>
    <row r="70" spans="1:9" x14ac:dyDescent="0.35">
      <c r="A70" s="365" t="s">
        <v>105</v>
      </c>
      <c r="B70" s="365" t="s">
        <v>609</v>
      </c>
      <c r="C70" s="23" t="s">
        <v>99</v>
      </c>
      <c r="D70" s="23" t="s">
        <v>515</v>
      </c>
      <c r="E70" t="s">
        <v>516</v>
      </c>
      <c r="F70" s="365" t="s">
        <v>612</v>
      </c>
      <c r="G70" s="365" t="s">
        <v>613</v>
      </c>
      <c r="H70" s="361" t="s">
        <v>527</v>
      </c>
      <c r="I70" s="361">
        <v>1.95</v>
      </c>
    </row>
    <row r="71" spans="1:9" x14ac:dyDescent="0.35">
      <c r="A71" s="366" t="s">
        <v>105</v>
      </c>
      <c r="B71" s="366" t="s">
        <v>609</v>
      </c>
      <c r="C71" s="363" t="s">
        <v>99</v>
      </c>
      <c r="D71" s="363" t="s">
        <v>534</v>
      </c>
      <c r="E71" s="362" t="s">
        <v>516</v>
      </c>
      <c r="F71" s="366" t="s">
        <v>610</v>
      </c>
      <c r="G71" s="366" t="s">
        <v>611</v>
      </c>
      <c r="H71" s="364" t="s">
        <v>519</v>
      </c>
      <c r="I71" s="364">
        <v>0.96</v>
      </c>
    </row>
    <row r="72" spans="1:9" x14ac:dyDescent="0.35">
      <c r="A72" s="366" t="s">
        <v>105</v>
      </c>
      <c r="B72" s="366" t="s">
        <v>609</v>
      </c>
      <c r="C72" s="363" t="s">
        <v>99</v>
      </c>
      <c r="D72" s="363" t="s">
        <v>534</v>
      </c>
      <c r="E72" s="362" t="s">
        <v>516</v>
      </c>
      <c r="F72" s="366" t="s">
        <v>612</v>
      </c>
      <c r="G72" s="366" t="s">
        <v>613</v>
      </c>
      <c r="H72" s="364" t="s">
        <v>527</v>
      </c>
      <c r="I72" s="364">
        <v>2.0699999999999998</v>
      </c>
    </row>
    <row r="73" spans="1:9" s="357" customFormat="1" x14ac:dyDescent="0.35">
      <c r="A73" s="372"/>
      <c r="B73" s="372"/>
      <c r="C73" s="354"/>
      <c r="D73" s="354"/>
      <c r="F73" s="372"/>
      <c r="G73" s="372"/>
      <c r="H73" s="371"/>
      <c r="I73" s="364"/>
    </row>
    <row r="74" spans="1:9" x14ac:dyDescent="0.35">
      <c r="A74" s="365" t="s">
        <v>177</v>
      </c>
      <c r="B74" s="365" t="s">
        <v>614</v>
      </c>
      <c r="C74" s="23" t="s">
        <v>180</v>
      </c>
      <c r="D74" s="23" t="s">
        <v>515</v>
      </c>
      <c r="E74" t="s">
        <v>516</v>
      </c>
      <c r="F74" t="s">
        <v>615</v>
      </c>
      <c r="G74" t="s">
        <v>616</v>
      </c>
      <c r="H74" s="361" t="s">
        <v>519</v>
      </c>
      <c r="I74" s="361" t="s">
        <v>749</v>
      </c>
    </row>
    <row r="75" spans="1:9" x14ac:dyDescent="0.35">
      <c r="A75" s="366" t="s">
        <v>177</v>
      </c>
      <c r="B75" s="366" t="s">
        <v>614</v>
      </c>
      <c r="C75" s="363" t="s">
        <v>180</v>
      </c>
      <c r="D75" s="363" t="s">
        <v>540</v>
      </c>
      <c r="E75" s="362" t="s">
        <v>516</v>
      </c>
      <c r="F75" s="362" t="s">
        <v>615</v>
      </c>
      <c r="G75" s="362" t="s">
        <v>616</v>
      </c>
      <c r="H75" s="364" t="s">
        <v>519</v>
      </c>
      <c r="I75" s="364" t="s">
        <v>750</v>
      </c>
    </row>
    <row r="76" spans="1:9" s="357" customFormat="1" x14ac:dyDescent="0.35">
      <c r="A76" s="372"/>
      <c r="B76" s="372"/>
      <c r="C76" s="354"/>
      <c r="D76" s="354"/>
      <c r="H76" s="371"/>
      <c r="I76" s="364"/>
    </row>
    <row r="77" spans="1:9" x14ac:dyDescent="0.35">
      <c r="A77" s="365" t="s">
        <v>337</v>
      </c>
      <c r="B77" s="365" t="s">
        <v>617</v>
      </c>
      <c r="C77" s="23" t="s">
        <v>343</v>
      </c>
      <c r="D77" s="23" t="s">
        <v>515</v>
      </c>
      <c r="E77" t="s">
        <v>541</v>
      </c>
      <c r="F77" t="s">
        <v>618</v>
      </c>
      <c r="G77" t="s">
        <v>619</v>
      </c>
      <c r="H77" s="361" t="s">
        <v>527</v>
      </c>
      <c r="I77" s="361" t="s">
        <v>751</v>
      </c>
    </row>
    <row r="78" spans="1:9" x14ac:dyDescent="0.35">
      <c r="A78" s="365" t="s">
        <v>337</v>
      </c>
      <c r="B78" s="365" t="s">
        <v>617</v>
      </c>
      <c r="C78" s="23" t="s">
        <v>343</v>
      </c>
      <c r="D78" s="23" t="s">
        <v>515</v>
      </c>
      <c r="E78" t="s">
        <v>537</v>
      </c>
      <c r="F78" t="s">
        <v>538</v>
      </c>
      <c r="G78" t="s">
        <v>539</v>
      </c>
      <c r="H78" s="361" t="s">
        <v>519</v>
      </c>
      <c r="I78" s="361" t="s">
        <v>752</v>
      </c>
    </row>
    <row r="79" spans="1:9" x14ac:dyDescent="0.35">
      <c r="A79" s="365" t="s">
        <v>337</v>
      </c>
      <c r="B79" s="365" t="s">
        <v>617</v>
      </c>
      <c r="C79" s="23" t="s">
        <v>343</v>
      </c>
      <c r="D79" s="23" t="s">
        <v>515</v>
      </c>
      <c r="E79" t="s">
        <v>531</v>
      </c>
      <c r="F79" t="s">
        <v>620</v>
      </c>
      <c r="G79" t="s">
        <v>621</v>
      </c>
      <c r="H79" s="361" t="s">
        <v>527</v>
      </c>
      <c r="I79" s="361" t="s">
        <v>753</v>
      </c>
    </row>
    <row r="80" spans="1:9" x14ac:dyDescent="0.35">
      <c r="A80" s="366" t="s">
        <v>337</v>
      </c>
      <c r="B80" s="366" t="s">
        <v>617</v>
      </c>
      <c r="C80" s="363" t="s">
        <v>343</v>
      </c>
      <c r="D80" s="363" t="s">
        <v>540</v>
      </c>
      <c r="E80" s="362" t="s">
        <v>570</v>
      </c>
      <c r="F80" s="362" t="s">
        <v>570</v>
      </c>
      <c r="G80" s="362" t="s">
        <v>570</v>
      </c>
      <c r="H80" s="364" t="s">
        <v>570</v>
      </c>
      <c r="I80" s="364">
        <v>0</v>
      </c>
    </row>
    <row r="81" spans="1:9" s="357" customFormat="1" x14ac:dyDescent="0.35">
      <c r="A81" s="372"/>
      <c r="B81" s="372"/>
      <c r="C81" s="354"/>
      <c r="D81" s="354"/>
      <c r="H81" s="371"/>
      <c r="I81" s="364"/>
    </row>
    <row r="82" spans="1:9" x14ac:dyDescent="0.35">
      <c r="A82" t="s">
        <v>305</v>
      </c>
      <c r="B82" t="s">
        <v>622</v>
      </c>
      <c r="C82" s="23" t="s">
        <v>309</v>
      </c>
      <c r="D82" s="23" t="s">
        <v>515</v>
      </c>
      <c r="E82" t="s">
        <v>537</v>
      </c>
      <c r="F82" t="s">
        <v>538</v>
      </c>
      <c r="G82" t="s">
        <v>539</v>
      </c>
      <c r="H82" s="361" t="s">
        <v>519</v>
      </c>
      <c r="I82" s="361" t="s">
        <v>754</v>
      </c>
    </row>
    <row r="83" spans="1:9" x14ac:dyDescent="0.35">
      <c r="A83" t="s">
        <v>305</v>
      </c>
      <c r="B83" t="s">
        <v>622</v>
      </c>
      <c r="C83" s="23" t="s">
        <v>309</v>
      </c>
      <c r="D83" s="23" t="s">
        <v>515</v>
      </c>
      <c r="E83" t="s">
        <v>547</v>
      </c>
      <c r="F83" t="s">
        <v>623</v>
      </c>
      <c r="G83" t="s">
        <v>624</v>
      </c>
      <c r="H83" s="361" t="s">
        <v>527</v>
      </c>
      <c r="I83" s="361" t="s">
        <v>755</v>
      </c>
    </row>
    <row r="84" spans="1:9" x14ac:dyDescent="0.35">
      <c r="A84" t="s">
        <v>305</v>
      </c>
      <c r="B84" t="s">
        <v>622</v>
      </c>
      <c r="C84" s="23" t="s">
        <v>309</v>
      </c>
      <c r="D84" s="23" t="s">
        <v>515</v>
      </c>
      <c r="E84" t="s">
        <v>531</v>
      </c>
      <c r="F84" t="s">
        <v>625</v>
      </c>
      <c r="G84" t="s">
        <v>626</v>
      </c>
      <c r="H84" s="361" t="s">
        <v>527</v>
      </c>
      <c r="I84" s="361" t="s">
        <v>756</v>
      </c>
    </row>
    <row r="85" spans="1:9" x14ac:dyDescent="0.35">
      <c r="A85" s="362" t="s">
        <v>305</v>
      </c>
      <c r="B85" s="362" t="s">
        <v>622</v>
      </c>
      <c r="C85" s="363" t="s">
        <v>309</v>
      </c>
      <c r="D85" s="363" t="s">
        <v>534</v>
      </c>
      <c r="E85" s="362" t="s">
        <v>537</v>
      </c>
      <c r="F85" s="362" t="s">
        <v>538</v>
      </c>
      <c r="G85" s="362" t="s">
        <v>539</v>
      </c>
      <c r="H85" s="364" t="s">
        <v>519</v>
      </c>
      <c r="I85" s="364" t="s">
        <v>757</v>
      </c>
    </row>
    <row r="86" spans="1:9" s="357" customFormat="1" x14ac:dyDescent="0.35">
      <c r="C86" s="354"/>
      <c r="D86" s="354"/>
      <c r="H86" s="371"/>
      <c r="I86" s="364"/>
    </row>
    <row r="87" spans="1:9" x14ac:dyDescent="0.35">
      <c r="A87" s="365" t="s">
        <v>314</v>
      </c>
      <c r="B87" s="365" t="s">
        <v>627</v>
      </c>
      <c r="C87" s="23" t="s">
        <v>323</v>
      </c>
      <c r="D87" s="23" t="s">
        <v>515</v>
      </c>
      <c r="E87" t="s">
        <v>537</v>
      </c>
      <c r="F87" s="361" t="s">
        <v>538</v>
      </c>
      <c r="G87" s="361" t="s">
        <v>539</v>
      </c>
      <c r="H87" s="361" t="s">
        <v>519</v>
      </c>
      <c r="I87" s="361">
        <v>0.57999999999999996</v>
      </c>
    </row>
    <row r="88" spans="1:9" x14ac:dyDescent="0.35">
      <c r="A88" s="365" t="s">
        <v>314</v>
      </c>
      <c r="B88" s="365" t="s">
        <v>627</v>
      </c>
      <c r="C88" s="23" t="s">
        <v>323</v>
      </c>
      <c r="D88" s="23" t="s">
        <v>515</v>
      </c>
      <c r="E88" t="s">
        <v>531</v>
      </c>
      <c r="F88" s="361" t="s">
        <v>628</v>
      </c>
      <c r="G88" s="361" t="s">
        <v>629</v>
      </c>
      <c r="H88" s="361" t="s">
        <v>527</v>
      </c>
      <c r="I88" s="361">
        <v>0.66</v>
      </c>
    </row>
    <row r="89" spans="1:9" x14ac:dyDescent="0.35">
      <c r="A89" s="366" t="s">
        <v>314</v>
      </c>
      <c r="B89" s="366" t="s">
        <v>627</v>
      </c>
      <c r="C89" s="363" t="s">
        <v>323</v>
      </c>
      <c r="D89" s="363" t="s">
        <v>534</v>
      </c>
      <c r="E89" s="362" t="s">
        <v>537</v>
      </c>
      <c r="F89" s="364" t="s">
        <v>538</v>
      </c>
      <c r="G89" s="364" t="s">
        <v>539</v>
      </c>
      <c r="H89" s="364" t="s">
        <v>519</v>
      </c>
      <c r="I89" s="364">
        <v>0.73</v>
      </c>
    </row>
    <row r="90" spans="1:9" x14ac:dyDescent="0.35">
      <c r="A90" s="366" t="s">
        <v>314</v>
      </c>
      <c r="B90" s="366" t="s">
        <v>627</v>
      </c>
      <c r="C90" s="363" t="s">
        <v>323</v>
      </c>
      <c r="D90" s="363" t="s">
        <v>534</v>
      </c>
      <c r="E90" s="362" t="s">
        <v>531</v>
      </c>
      <c r="F90" s="364" t="s">
        <v>628</v>
      </c>
      <c r="G90" s="364" t="s">
        <v>629</v>
      </c>
      <c r="H90" s="364" t="s">
        <v>527</v>
      </c>
      <c r="I90" s="364">
        <v>0.57999999999999996</v>
      </c>
    </row>
    <row r="91" spans="1:9" s="357" customFormat="1" x14ac:dyDescent="0.35">
      <c r="A91" s="372"/>
      <c r="B91" s="372"/>
      <c r="C91" s="354"/>
      <c r="D91" s="354"/>
      <c r="F91" s="371"/>
      <c r="G91" s="371"/>
      <c r="H91" s="371"/>
      <c r="I91" s="364"/>
    </row>
    <row r="92" spans="1:9" x14ac:dyDescent="0.35">
      <c r="A92" s="365" t="s">
        <v>115</v>
      </c>
      <c r="B92" s="365" t="s">
        <v>630</v>
      </c>
      <c r="C92" s="23" t="s">
        <v>100</v>
      </c>
      <c r="D92" s="23" t="s">
        <v>515</v>
      </c>
      <c r="E92" t="s">
        <v>516</v>
      </c>
      <c r="F92" s="365" t="s">
        <v>517</v>
      </c>
      <c r="G92" s="365" t="s">
        <v>518</v>
      </c>
      <c r="H92" s="361" t="s">
        <v>519</v>
      </c>
      <c r="I92" s="361">
        <v>13.95</v>
      </c>
    </row>
    <row r="93" spans="1:9" x14ac:dyDescent="0.35">
      <c r="A93" s="365" t="s">
        <v>115</v>
      </c>
      <c r="B93" s="365" t="s">
        <v>630</v>
      </c>
      <c r="C93" s="23" t="s">
        <v>100</v>
      </c>
      <c r="D93" s="23" t="s">
        <v>515</v>
      </c>
      <c r="E93" t="s">
        <v>531</v>
      </c>
      <c r="F93" s="365" t="s">
        <v>575</v>
      </c>
      <c r="G93" s="365" t="s">
        <v>576</v>
      </c>
      <c r="H93" s="361" t="s">
        <v>527</v>
      </c>
      <c r="I93" s="361">
        <v>13.71</v>
      </c>
    </row>
    <row r="94" spans="1:9" x14ac:dyDescent="0.35">
      <c r="A94" s="366" t="s">
        <v>115</v>
      </c>
      <c r="B94" s="366" t="s">
        <v>630</v>
      </c>
      <c r="C94" s="363" t="s">
        <v>100</v>
      </c>
      <c r="D94" s="363" t="s">
        <v>534</v>
      </c>
      <c r="E94" s="362" t="s">
        <v>516</v>
      </c>
      <c r="F94" s="366" t="s">
        <v>517</v>
      </c>
      <c r="G94" s="366" t="s">
        <v>518</v>
      </c>
      <c r="H94" s="364" t="s">
        <v>519</v>
      </c>
      <c r="I94" s="364">
        <v>33.67</v>
      </c>
    </row>
    <row r="95" spans="1:9" x14ac:dyDescent="0.35">
      <c r="A95" s="366" t="s">
        <v>115</v>
      </c>
      <c r="B95" s="366" t="s">
        <v>630</v>
      </c>
      <c r="C95" s="363" t="s">
        <v>100</v>
      </c>
      <c r="D95" s="363" t="s">
        <v>534</v>
      </c>
      <c r="E95" s="362" t="s">
        <v>547</v>
      </c>
      <c r="F95" s="366" t="s">
        <v>631</v>
      </c>
      <c r="G95" s="366" t="s">
        <v>632</v>
      </c>
      <c r="H95" s="364" t="s">
        <v>527</v>
      </c>
      <c r="I95" s="364">
        <v>0.52</v>
      </c>
    </row>
    <row r="96" spans="1:9" x14ac:dyDescent="0.35">
      <c r="A96" s="366" t="s">
        <v>115</v>
      </c>
      <c r="B96" s="366" t="s">
        <v>630</v>
      </c>
      <c r="C96" s="363" t="s">
        <v>100</v>
      </c>
      <c r="D96" s="363" t="s">
        <v>534</v>
      </c>
      <c r="E96" s="362" t="s">
        <v>531</v>
      </c>
      <c r="F96" s="366" t="s">
        <v>575</v>
      </c>
      <c r="G96" s="366" t="s">
        <v>576</v>
      </c>
      <c r="H96" s="364" t="s">
        <v>527</v>
      </c>
      <c r="I96" s="364">
        <v>13.71</v>
      </c>
    </row>
    <row r="97" spans="1:9" s="357" customFormat="1" x14ac:dyDescent="0.35">
      <c r="A97" s="372"/>
      <c r="B97" s="372"/>
      <c r="C97" s="354"/>
      <c r="D97" s="354"/>
      <c r="F97" s="372"/>
      <c r="G97" s="372"/>
      <c r="H97" s="371"/>
      <c r="I97" s="364"/>
    </row>
    <row r="98" spans="1:9" x14ac:dyDescent="0.35">
      <c r="A98" t="s">
        <v>335</v>
      </c>
      <c r="B98" t="s">
        <v>633</v>
      </c>
      <c r="C98" s="23" t="s">
        <v>342</v>
      </c>
      <c r="D98" s="23" t="s">
        <v>515</v>
      </c>
      <c r="E98" t="s">
        <v>541</v>
      </c>
      <c r="F98" t="s">
        <v>634</v>
      </c>
      <c r="G98" t="s">
        <v>635</v>
      </c>
      <c r="H98" s="361" t="s">
        <v>527</v>
      </c>
      <c r="I98" s="361">
        <v>11.93</v>
      </c>
    </row>
    <row r="99" spans="1:9" x14ac:dyDescent="0.35">
      <c r="A99" t="s">
        <v>335</v>
      </c>
      <c r="B99" t="s">
        <v>633</v>
      </c>
      <c r="C99" s="23" t="s">
        <v>342</v>
      </c>
      <c r="D99" s="23" t="s">
        <v>515</v>
      </c>
      <c r="E99" t="s">
        <v>537</v>
      </c>
      <c r="F99" t="s">
        <v>538</v>
      </c>
      <c r="G99" t="s">
        <v>539</v>
      </c>
      <c r="H99" s="361" t="s">
        <v>519</v>
      </c>
      <c r="I99" s="361">
        <v>13.62</v>
      </c>
    </row>
    <row r="100" spans="1:9" x14ac:dyDescent="0.35">
      <c r="A100" t="s">
        <v>335</v>
      </c>
      <c r="B100" t="s">
        <v>633</v>
      </c>
      <c r="C100" s="23" t="s">
        <v>342</v>
      </c>
      <c r="D100" s="23" t="s">
        <v>515</v>
      </c>
      <c r="E100" t="s">
        <v>547</v>
      </c>
      <c r="F100" t="s">
        <v>636</v>
      </c>
      <c r="G100" t="s">
        <v>637</v>
      </c>
      <c r="H100" s="361" t="s">
        <v>527</v>
      </c>
      <c r="I100" s="361">
        <v>13.92</v>
      </c>
    </row>
    <row r="101" spans="1:9" x14ac:dyDescent="0.35">
      <c r="A101" s="362" t="s">
        <v>335</v>
      </c>
      <c r="B101" s="362" t="s">
        <v>633</v>
      </c>
      <c r="C101" s="363" t="s">
        <v>342</v>
      </c>
      <c r="D101" s="363" t="s">
        <v>534</v>
      </c>
      <c r="E101" s="362" t="s">
        <v>541</v>
      </c>
      <c r="F101" s="362" t="s">
        <v>634</v>
      </c>
      <c r="G101" s="362" t="s">
        <v>638</v>
      </c>
      <c r="H101" s="364" t="s">
        <v>527</v>
      </c>
      <c r="I101" s="364" t="s">
        <v>758</v>
      </c>
    </row>
    <row r="102" spans="1:9" x14ac:dyDescent="0.35">
      <c r="A102" s="362" t="s">
        <v>335</v>
      </c>
      <c r="B102" s="362" t="s">
        <v>633</v>
      </c>
      <c r="C102" s="363" t="s">
        <v>342</v>
      </c>
      <c r="D102" s="363" t="s">
        <v>534</v>
      </c>
      <c r="E102" s="362" t="s">
        <v>537</v>
      </c>
      <c r="F102" s="362" t="s">
        <v>538</v>
      </c>
      <c r="G102" s="362" t="s">
        <v>539</v>
      </c>
      <c r="H102" s="364" t="s">
        <v>519</v>
      </c>
      <c r="I102" s="364" t="s">
        <v>759</v>
      </c>
    </row>
    <row r="103" spans="1:9" x14ac:dyDescent="0.35">
      <c r="A103" s="362" t="s">
        <v>335</v>
      </c>
      <c r="B103" s="362" t="s">
        <v>633</v>
      </c>
      <c r="C103" s="363" t="s">
        <v>342</v>
      </c>
      <c r="D103" s="363" t="s">
        <v>534</v>
      </c>
      <c r="E103" s="362" t="s">
        <v>537</v>
      </c>
      <c r="F103" s="362" t="s">
        <v>639</v>
      </c>
      <c r="G103" s="362" t="s">
        <v>640</v>
      </c>
      <c r="H103" s="364" t="s">
        <v>527</v>
      </c>
      <c r="I103" s="364" t="s">
        <v>760</v>
      </c>
    </row>
    <row r="104" spans="1:9" x14ac:dyDescent="0.35">
      <c r="A104" s="362" t="s">
        <v>335</v>
      </c>
      <c r="B104" s="362" t="s">
        <v>633</v>
      </c>
      <c r="C104" s="363" t="s">
        <v>342</v>
      </c>
      <c r="D104" s="363" t="s">
        <v>534</v>
      </c>
      <c r="E104" s="362" t="s">
        <v>537</v>
      </c>
      <c r="F104" s="362" t="s">
        <v>641</v>
      </c>
      <c r="G104" s="362" t="s">
        <v>642</v>
      </c>
      <c r="H104" s="364" t="s">
        <v>527</v>
      </c>
      <c r="I104" s="364" t="s">
        <v>761</v>
      </c>
    </row>
    <row r="105" spans="1:9" x14ac:dyDescent="0.35">
      <c r="A105" s="362" t="s">
        <v>335</v>
      </c>
      <c r="B105" s="362" t="s">
        <v>633</v>
      </c>
      <c r="C105" s="363" t="s">
        <v>342</v>
      </c>
      <c r="D105" s="363" t="s">
        <v>534</v>
      </c>
      <c r="E105" s="362" t="s">
        <v>537</v>
      </c>
      <c r="F105" s="362" t="s">
        <v>643</v>
      </c>
      <c r="G105" s="362" t="s">
        <v>644</v>
      </c>
      <c r="H105" s="364" t="s">
        <v>527</v>
      </c>
      <c r="I105" s="364" t="s">
        <v>762</v>
      </c>
    </row>
    <row r="106" spans="1:9" x14ac:dyDescent="0.35">
      <c r="A106" s="362" t="s">
        <v>335</v>
      </c>
      <c r="B106" s="362" t="s">
        <v>633</v>
      </c>
      <c r="C106" s="363" t="s">
        <v>342</v>
      </c>
      <c r="D106" s="363" t="s">
        <v>534</v>
      </c>
      <c r="E106" s="362" t="s">
        <v>547</v>
      </c>
      <c r="F106" s="362" t="s">
        <v>636</v>
      </c>
      <c r="G106" s="362" t="s">
        <v>645</v>
      </c>
      <c r="H106" s="364" t="s">
        <v>527</v>
      </c>
      <c r="I106" s="364" t="s">
        <v>763</v>
      </c>
    </row>
    <row r="107" spans="1:9" s="357" customFormat="1" x14ac:dyDescent="0.35">
      <c r="C107" s="354"/>
      <c r="D107" s="354"/>
      <c r="H107" s="371"/>
      <c r="I107" s="364"/>
    </row>
    <row r="108" spans="1:9" x14ac:dyDescent="0.35">
      <c r="A108" s="365" t="s">
        <v>250</v>
      </c>
      <c r="B108" s="365" t="s">
        <v>646</v>
      </c>
      <c r="C108" s="23" t="s">
        <v>253</v>
      </c>
      <c r="D108" s="23" t="s">
        <v>515</v>
      </c>
      <c r="E108" t="s">
        <v>516</v>
      </c>
      <c r="F108" t="s">
        <v>647</v>
      </c>
      <c r="G108" t="s">
        <v>648</v>
      </c>
      <c r="H108" s="361" t="s">
        <v>527</v>
      </c>
      <c r="I108" s="361" t="s">
        <v>764</v>
      </c>
    </row>
    <row r="109" spans="1:9" x14ac:dyDescent="0.35">
      <c r="A109" s="365" t="s">
        <v>250</v>
      </c>
      <c r="B109" s="365" t="s">
        <v>646</v>
      </c>
      <c r="C109" s="23" t="s">
        <v>253</v>
      </c>
      <c r="D109" s="23" t="s">
        <v>515</v>
      </c>
      <c r="E109" t="s">
        <v>516</v>
      </c>
      <c r="F109" t="s">
        <v>517</v>
      </c>
      <c r="G109" t="s">
        <v>518</v>
      </c>
      <c r="H109" s="361" t="s">
        <v>519</v>
      </c>
      <c r="I109" s="361" t="s">
        <v>765</v>
      </c>
    </row>
    <row r="110" spans="1:9" x14ac:dyDescent="0.35">
      <c r="A110" s="365" t="s">
        <v>250</v>
      </c>
      <c r="B110" s="365" t="s">
        <v>646</v>
      </c>
      <c r="C110" s="23" t="s">
        <v>253</v>
      </c>
      <c r="D110" s="23" t="s">
        <v>515</v>
      </c>
      <c r="E110" t="s">
        <v>531</v>
      </c>
      <c r="F110" t="s">
        <v>649</v>
      </c>
      <c r="G110" t="s">
        <v>650</v>
      </c>
      <c r="H110" s="361" t="s">
        <v>523</v>
      </c>
      <c r="I110" s="361" t="s">
        <v>766</v>
      </c>
    </row>
    <row r="111" spans="1:9" x14ac:dyDescent="0.35">
      <c r="A111" s="366" t="s">
        <v>250</v>
      </c>
      <c r="B111" s="366" t="s">
        <v>646</v>
      </c>
      <c r="C111" s="363" t="s">
        <v>253</v>
      </c>
      <c r="D111" s="363" t="s">
        <v>540</v>
      </c>
      <c r="E111" s="362" t="s">
        <v>516</v>
      </c>
      <c r="F111" s="362" t="s">
        <v>517</v>
      </c>
      <c r="G111" s="362" t="s">
        <v>518</v>
      </c>
      <c r="H111" s="364" t="s">
        <v>519</v>
      </c>
      <c r="I111" s="364" t="s">
        <v>724</v>
      </c>
    </row>
    <row r="112" spans="1:9" x14ac:dyDescent="0.35">
      <c r="A112" s="366" t="s">
        <v>250</v>
      </c>
      <c r="B112" s="366" t="s">
        <v>646</v>
      </c>
      <c r="C112" s="363" t="s">
        <v>253</v>
      </c>
      <c r="D112" s="363" t="s">
        <v>540</v>
      </c>
      <c r="E112" s="362" t="s">
        <v>531</v>
      </c>
      <c r="F112" s="362" t="s">
        <v>649</v>
      </c>
      <c r="G112" s="362" t="s">
        <v>650</v>
      </c>
      <c r="H112" s="364" t="s">
        <v>523</v>
      </c>
      <c r="I112" s="364" t="s">
        <v>767</v>
      </c>
    </row>
    <row r="113" spans="1:9" s="357" customFormat="1" x14ac:dyDescent="0.35">
      <c r="A113" s="372"/>
      <c r="B113" s="372"/>
      <c r="C113" s="354"/>
      <c r="D113" s="354"/>
      <c r="H113" s="371"/>
      <c r="I113" s="364"/>
    </row>
    <row r="114" spans="1:9" x14ac:dyDescent="0.35">
      <c r="A114" s="362" t="s">
        <v>236</v>
      </c>
      <c r="B114" s="362" t="s">
        <v>651</v>
      </c>
      <c r="C114" s="363" t="s">
        <v>234</v>
      </c>
      <c r="D114" s="363" t="s">
        <v>534</v>
      </c>
      <c r="E114" s="362" t="s">
        <v>516</v>
      </c>
      <c r="F114" s="362" t="s">
        <v>557</v>
      </c>
      <c r="G114" s="362" t="s">
        <v>652</v>
      </c>
      <c r="H114" s="364" t="s">
        <v>519</v>
      </c>
      <c r="I114" s="364">
        <v>4.07</v>
      </c>
    </row>
    <row r="115" spans="1:9" x14ac:dyDescent="0.35">
      <c r="A115" s="362" t="s">
        <v>236</v>
      </c>
      <c r="B115" s="362" t="s">
        <v>651</v>
      </c>
      <c r="C115" s="363" t="s">
        <v>234</v>
      </c>
      <c r="D115" s="363" t="s">
        <v>534</v>
      </c>
      <c r="E115" s="362" t="s">
        <v>531</v>
      </c>
      <c r="F115" s="362" t="s">
        <v>653</v>
      </c>
      <c r="G115" s="362" t="s">
        <v>654</v>
      </c>
      <c r="H115" s="364" t="s">
        <v>527</v>
      </c>
      <c r="I115" s="364">
        <v>2.0299999999999998</v>
      </c>
    </row>
    <row r="116" spans="1:9" s="357" customFormat="1" x14ac:dyDescent="0.35">
      <c r="C116" s="354"/>
      <c r="D116" s="354"/>
      <c r="H116" s="371"/>
      <c r="I116" s="364"/>
    </row>
    <row r="117" spans="1:9" x14ac:dyDescent="0.35">
      <c r="A117" s="365" t="s">
        <v>272</v>
      </c>
      <c r="B117" s="365" t="s">
        <v>655</v>
      </c>
      <c r="C117" s="23" t="s">
        <v>278</v>
      </c>
      <c r="D117" s="23" t="s">
        <v>515</v>
      </c>
      <c r="E117" t="s">
        <v>537</v>
      </c>
      <c r="F117" t="s">
        <v>538</v>
      </c>
      <c r="G117" t="s">
        <v>539</v>
      </c>
      <c r="H117" s="361" t="s">
        <v>519</v>
      </c>
      <c r="I117" s="361" t="s">
        <v>768</v>
      </c>
    </row>
    <row r="118" spans="1:9" x14ac:dyDescent="0.35">
      <c r="A118" s="365" t="s">
        <v>272</v>
      </c>
      <c r="B118" s="365" t="s">
        <v>655</v>
      </c>
      <c r="C118" s="23" t="s">
        <v>278</v>
      </c>
      <c r="D118" s="23" t="s">
        <v>515</v>
      </c>
      <c r="E118" t="s">
        <v>531</v>
      </c>
      <c r="F118" t="s">
        <v>656</v>
      </c>
      <c r="G118" t="s">
        <v>657</v>
      </c>
      <c r="H118" s="361" t="s">
        <v>527</v>
      </c>
      <c r="I118" s="361" t="s">
        <v>769</v>
      </c>
    </row>
    <row r="119" spans="1:9" x14ac:dyDescent="0.35">
      <c r="A119" s="366" t="s">
        <v>272</v>
      </c>
      <c r="B119" s="366" t="s">
        <v>655</v>
      </c>
      <c r="C119" s="363" t="s">
        <v>278</v>
      </c>
      <c r="D119" s="363" t="s">
        <v>534</v>
      </c>
      <c r="E119" s="362" t="s">
        <v>537</v>
      </c>
      <c r="F119" s="362" t="s">
        <v>538</v>
      </c>
      <c r="G119" s="362" t="s">
        <v>539</v>
      </c>
      <c r="H119" s="364" t="s">
        <v>519</v>
      </c>
      <c r="I119" s="364" t="s">
        <v>770</v>
      </c>
    </row>
    <row r="120" spans="1:9" x14ac:dyDescent="0.35">
      <c r="A120" s="366" t="s">
        <v>272</v>
      </c>
      <c r="B120" s="366" t="s">
        <v>655</v>
      </c>
      <c r="C120" s="363" t="s">
        <v>278</v>
      </c>
      <c r="D120" s="363" t="s">
        <v>534</v>
      </c>
      <c r="E120" s="362" t="s">
        <v>531</v>
      </c>
      <c r="F120" s="362" t="s">
        <v>656</v>
      </c>
      <c r="G120" s="362" t="s">
        <v>657</v>
      </c>
      <c r="H120" s="364" t="s">
        <v>527</v>
      </c>
      <c r="I120" s="364" t="s">
        <v>771</v>
      </c>
    </row>
    <row r="121" spans="1:9" s="357" customFormat="1" x14ac:dyDescent="0.35">
      <c r="A121" s="372"/>
      <c r="B121" s="372"/>
      <c r="C121" s="354"/>
      <c r="D121" s="354"/>
      <c r="H121" s="371"/>
      <c r="I121" s="364"/>
    </row>
    <row r="122" spans="1:9" x14ac:dyDescent="0.35">
      <c r="A122" s="365" t="s">
        <v>320</v>
      </c>
      <c r="B122" s="365" t="s">
        <v>614</v>
      </c>
      <c r="C122" s="23" t="s">
        <v>326</v>
      </c>
      <c r="D122" s="23" t="s">
        <v>515</v>
      </c>
      <c r="E122" t="s">
        <v>541</v>
      </c>
      <c r="F122" t="s">
        <v>658</v>
      </c>
      <c r="G122" t="s">
        <v>659</v>
      </c>
      <c r="H122" s="361" t="s">
        <v>527</v>
      </c>
      <c r="I122" s="361" t="s">
        <v>772</v>
      </c>
    </row>
    <row r="123" spans="1:9" x14ac:dyDescent="0.35">
      <c r="A123" s="365" t="s">
        <v>320</v>
      </c>
      <c r="B123" s="365" t="s">
        <v>614</v>
      </c>
      <c r="C123" s="23" t="s">
        <v>326</v>
      </c>
      <c r="D123" s="23" t="s">
        <v>515</v>
      </c>
      <c r="E123" t="s">
        <v>537</v>
      </c>
      <c r="F123" t="s">
        <v>538</v>
      </c>
      <c r="G123" t="s">
        <v>539</v>
      </c>
      <c r="H123" s="361" t="s">
        <v>519</v>
      </c>
      <c r="I123" s="361" t="s">
        <v>773</v>
      </c>
    </row>
    <row r="124" spans="1:9" x14ac:dyDescent="0.35">
      <c r="A124" s="365" t="s">
        <v>320</v>
      </c>
      <c r="B124" s="365" t="s">
        <v>614</v>
      </c>
      <c r="C124" s="23" t="s">
        <v>326</v>
      </c>
      <c r="D124" s="23" t="s">
        <v>515</v>
      </c>
      <c r="E124" t="s">
        <v>531</v>
      </c>
      <c r="F124" t="s">
        <v>660</v>
      </c>
      <c r="G124" t="s">
        <v>661</v>
      </c>
      <c r="H124" s="361" t="s">
        <v>527</v>
      </c>
      <c r="I124" s="361" t="s">
        <v>774</v>
      </c>
    </row>
    <row r="125" spans="1:9" x14ac:dyDescent="0.35">
      <c r="A125" s="365" t="s">
        <v>320</v>
      </c>
      <c r="B125" s="365" t="s">
        <v>614</v>
      </c>
      <c r="C125" s="23" t="s">
        <v>326</v>
      </c>
      <c r="D125" s="23" t="s">
        <v>515</v>
      </c>
      <c r="E125" t="s">
        <v>531</v>
      </c>
      <c r="F125" t="s">
        <v>662</v>
      </c>
      <c r="G125" t="s">
        <v>663</v>
      </c>
      <c r="H125" s="361" t="s">
        <v>527</v>
      </c>
      <c r="I125" s="361" t="s">
        <v>775</v>
      </c>
    </row>
    <row r="126" spans="1:9" x14ac:dyDescent="0.35">
      <c r="A126" s="366" t="s">
        <v>320</v>
      </c>
      <c r="B126" s="366" t="s">
        <v>614</v>
      </c>
      <c r="C126" s="363" t="s">
        <v>326</v>
      </c>
      <c r="D126" s="363" t="s">
        <v>534</v>
      </c>
      <c r="E126" s="362" t="s">
        <v>541</v>
      </c>
      <c r="F126" s="362" t="s">
        <v>658</v>
      </c>
      <c r="G126" s="362" t="s">
        <v>659</v>
      </c>
      <c r="H126" s="364" t="s">
        <v>527</v>
      </c>
      <c r="I126" s="364" t="s">
        <v>776</v>
      </c>
    </row>
    <row r="127" spans="1:9" x14ac:dyDescent="0.35">
      <c r="A127" s="366" t="s">
        <v>320</v>
      </c>
      <c r="B127" s="366" t="s">
        <v>614</v>
      </c>
      <c r="C127" s="363" t="s">
        <v>326</v>
      </c>
      <c r="D127" s="363" t="s">
        <v>534</v>
      </c>
      <c r="E127" s="362" t="s">
        <v>537</v>
      </c>
      <c r="F127" s="362" t="s">
        <v>538</v>
      </c>
      <c r="G127" s="362" t="s">
        <v>539</v>
      </c>
      <c r="H127" s="364" t="s">
        <v>519</v>
      </c>
      <c r="I127" s="364" t="s">
        <v>777</v>
      </c>
    </row>
    <row r="128" spans="1:9" x14ac:dyDescent="0.35">
      <c r="A128" s="366" t="s">
        <v>320</v>
      </c>
      <c r="B128" s="366" t="s">
        <v>614</v>
      </c>
      <c r="C128" s="363" t="s">
        <v>326</v>
      </c>
      <c r="D128" s="363" t="s">
        <v>534</v>
      </c>
      <c r="E128" s="362" t="s">
        <v>537</v>
      </c>
      <c r="F128" s="362" t="s">
        <v>664</v>
      </c>
      <c r="G128" s="362" t="s">
        <v>665</v>
      </c>
      <c r="H128" s="364" t="s">
        <v>527</v>
      </c>
      <c r="I128" s="364" t="s">
        <v>778</v>
      </c>
    </row>
    <row r="129" spans="1:9" x14ac:dyDescent="0.35">
      <c r="A129" s="366" t="s">
        <v>320</v>
      </c>
      <c r="B129" s="366" t="s">
        <v>614</v>
      </c>
      <c r="C129" s="363" t="s">
        <v>326</v>
      </c>
      <c r="D129" s="363" t="s">
        <v>534</v>
      </c>
      <c r="E129" s="362" t="s">
        <v>531</v>
      </c>
      <c r="F129" s="362" t="s">
        <v>660</v>
      </c>
      <c r="G129" s="362" t="s">
        <v>661</v>
      </c>
      <c r="H129" s="364" t="s">
        <v>527</v>
      </c>
      <c r="I129" s="364" t="s">
        <v>779</v>
      </c>
    </row>
    <row r="130" spans="1:9" x14ac:dyDescent="0.35">
      <c r="A130" s="366" t="s">
        <v>320</v>
      </c>
      <c r="B130" s="366" t="s">
        <v>614</v>
      </c>
      <c r="C130" s="363" t="s">
        <v>326</v>
      </c>
      <c r="D130" s="363" t="s">
        <v>534</v>
      </c>
      <c r="E130" s="362" t="s">
        <v>531</v>
      </c>
      <c r="F130" s="362" t="s">
        <v>662</v>
      </c>
      <c r="G130" s="362" t="s">
        <v>663</v>
      </c>
      <c r="H130" s="364" t="s">
        <v>527</v>
      </c>
      <c r="I130" s="364" t="s">
        <v>780</v>
      </c>
    </row>
    <row r="131" spans="1:9" s="357" customFormat="1" x14ac:dyDescent="0.35">
      <c r="A131" s="372"/>
      <c r="B131" s="372"/>
      <c r="C131" s="354"/>
      <c r="D131" s="354"/>
      <c r="H131" s="371"/>
      <c r="I131" s="364"/>
    </row>
    <row r="132" spans="1:9" x14ac:dyDescent="0.35">
      <c r="A132" s="366" t="s">
        <v>301</v>
      </c>
      <c r="B132" s="366" t="s">
        <v>666</v>
      </c>
      <c r="C132" s="363" t="s">
        <v>307</v>
      </c>
      <c r="D132" s="363" t="s">
        <v>534</v>
      </c>
      <c r="E132" s="362" t="s">
        <v>537</v>
      </c>
      <c r="F132" s="362" t="s">
        <v>538</v>
      </c>
      <c r="G132" s="362" t="s">
        <v>539</v>
      </c>
      <c r="H132" s="364" t="s">
        <v>519</v>
      </c>
      <c r="I132" s="364" t="s">
        <v>781</v>
      </c>
    </row>
    <row r="133" spans="1:9" x14ac:dyDescent="0.35">
      <c r="A133" s="366" t="s">
        <v>301</v>
      </c>
      <c r="B133" s="366" t="s">
        <v>666</v>
      </c>
      <c r="C133" s="363" t="s">
        <v>307</v>
      </c>
      <c r="D133" s="363" t="s">
        <v>534</v>
      </c>
      <c r="E133" s="362" t="s">
        <v>562</v>
      </c>
      <c r="F133" s="362" t="s">
        <v>667</v>
      </c>
      <c r="G133" s="362" t="s">
        <v>576</v>
      </c>
      <c r="H133" s="364" t="s">
        <v>527</v>
      </c>
      <c r="I133" s="364" t="s">
        <v>782</v>
      </c>
    </row>
    <row r="134" spans="1:9" x14ac:dyDescent="0.35">
      <c r="A134" s="366" t="s">
        <v>301</v>
      </c>
      <c r="B134" s="366" t="s">
        <v>666</v>
      </c>
      <c r="C134" s="363" t="s">
        <v>307</v>
      </c>
      <c r="D134" s="363" t="s">
        <v>534</v>
      </c>
      <c r="E134" s="362" t="s">
        <v>547</v>
      </c>
      <c r="F134" s="362" t="s">
        <v>668</v>
      </c>
      <c r="G134" s="362" t="s">
        <v>669</v>
      </c>
      <c r="H134" s="364" t="s">
        <v>527</v>
      </c>
      <c r="I134" s="364" t="s">
        <v>783</v>
      </c>
    </row>
    <row r="135" spans="1:9" x14ac:dyDescent="0.35">
      <c r="A135" s="366" t="s">
        <v>301</v>
      </c>
      <c r="B135" s="366" t="s">
        <v>666</v>
      </c>
      <c r="C135" s="363" t="s">
        <v>307</v>
      </c>
      <c r="D135" s="363" t="s">
        <v>534</v>
      </c>
      <c r="E135" s="362" t="s">
        <v>531</v>
      </c>
      <c r="F135" s="362" t="s">
        <v>670</v>
      </c>
      <c r="G135" s="362" t="s">
        <v>671</v>
      </c>
      <c r="H135" s="364" t="s">
        <v>527</v>
      </c>
      <c r="I135" s="364" t="s">
        <v>784</v>
      </c>
    </row>
    <row r="136" spans="1:9" s="357" customFormat="1" x14ac:dyDescent="0.35">
      <c r="A136" s="372"/>
      <c r="B136" s="372"/>
      <c r="C136" s="354"/>
      <c r="D136" s="354"/>
      <c r="H136" s="371"/>
      <c r="I136" s="364"/>
    </row>
    <row r="137" spans="1:9" x14ac:dyDescent="0.35">
      <c r="A137" s="365" t="s">
        <v>182</v>
      </c>
      <c r="B137" s="365" t="s">
        <v>672</v>
      </c>
      <c r="C137" s="23" t="s">
        <v>181</v>
      </c>
      <c r="D137" s="23" t="s">
        <v>515</v>
      </c>
      <c r="E137" t="s">
        <v>570</v>
      </c>
      <c r="F137" t="s">
        <v>570</v>
      </c>
      <c r="G137" t="s">
        <v>570</v>
      </c>
      <c r="H137" s="361" t="s">
        <v>570</v>
      </c>
      <c r="I137" s="361">
        <v>0</v>
      </c>
    </row>
    <row r="138" spans="1:9" x14ac:dyDescent="0.35">
      <c r="A138" s="366" t="s">
        <v>182</v>
      </c>
      <c r="B138" s="366" t="s">
        <v>672</v>
      </c>
      <c r="C138" s="363" t="s">
        <v>181</v>
      </c>
      <c r="D138" s="363" t="s">
        <v>534</v>
      </c>
      <c r="E138" s="364" t="s">
        <v>537</v>
      </c>
      <c r="F138" s="364" t="s">
        <v>538</v>
      </c>
      <c r="G138" s="364" t="s">
        <v>539</v>
      </c>
      <c r="H138" s="364" t="s">
        <v>519</v>
      </c>
      <c r="I138" s="364" t="s">
        <v>785</v>
      </c>
    </row>
    <row r="139" spans="1:9" x14ac:dyDescent="0.35">
      <c r="A139" s="366" t="s">
        <v>182</v>
      </c>
      <c r="B139" s="366" t="s">
        <v>672</v>
      </c>
      <c r="C139" s="363" t="s">
        <v>181</v>
      </c>
      <c r="D139" s="363" t="s">
        <v>534</v>
      </c>
      <c r="E139" s="362" t="s">
        <v>537</v>
      </c>
      <c r="F139" s="362" t="s">
        <v>544</v>
      </c>
      <c r="G139" s="362" t="s">
        <v>545</v>
      </c>
      <c r="H139" s="364" t="s">
        <v>527</v>
      </c>
      <c r="I139" s="364" t="s">
        <v>786</v>
      </c>
    </row>
    <row r="140" spans="1:9" x14ac:dyDescent="0.35">
      <c r="A140" s="366" t="s">
        <v>182</v>
      </c>
      <c r="B140" s="366" t="s">
        <v>672</v>
      </c>
      <c r="C140" s="363" t="s">
        <v>181</v>
      </c>
      <c r="D140" s="363" t="s">
        <v>534</v>
      </c>
      <c r="E140" s="362" t="s">
        <v>547</v>
      </c>
      <c r="F140" s="362" t="s">
        <v>673</v>
      </c>
      <c r="G140" s="362" t="s">
        <v>674</v>
      </c>
      <c r="H140" s="364" t="s">
        <v>527</v>
      </c>
      <c r="I140" s="364" t="s">
        <v>787</v>
      </c>
    </row>
    <row r="141" spans="1:9" s="357" customFormat="1" x14ac:dyDescent="0.35">
      <c r="A141" s="372"/>
      <c r="B141" s="372"/>
      <c r="C141" s="354"/>
      <c r="D141" s="354"/>
      <c r="H141" s="371"/>
      <c r="I141" s="364"/>
    </row>
    <row r="142" spans="1:9" x14ac:dyDescent="0.35">
      <c r="A142" s="365" t="s">
        <v>122</v>
      </c>
      <c r="B142" s="365" t="s">
        <v>675</v>
      </c>
      <c r="C142" s="23" t="s">
        <v>101</v>
      </c>
      <c r="D142" s="23" t="s">
        <v>515</v>
      </c>
      <c r="E142" t="s">
        <v>516</v>
      </c>
      <c r="F142" s="365" t="s">
        <v>517</v>
      </c>
      <c r="G142" s="365" t="s">
        <v>518</v>
      </c>
      <c r="H142" s="361" t="s">
        <v>519</v>
      </c>
      <c r="I142" s="361">
        <v>3.7</v>
      </c>
    </row>
    <row r="143" spans="1:9" x14ac:dyDescent="0.35">
      <c r="A143" s="365" t="s">
        <v>122</v>
      </c>
      <c r="B143" s="365" t="s">
        <v>675</v>
      </c>
      <c r="C143" s="23" t="s">
        <v>101</v>
      </c>
      <c r="D143" s="23" t="s">
        <v>515</v>
      </c>
      <c r="E143" t="s">
        <v>531</v>
      </c>
      <c r="F143" s="365" t="s">
        <v>676</v>
      </c>
      <c r="G143" s="365" t="s">
        <v>677</v>
      </c>
      <c r="H143" s="361" t="s">
        <v>527</v>
      </c>
      <c r="I143" s="361">
        <v>1.94</v>
      </c>
    </row>
    <row r="144" spans="1:9" x14ac:dyDescent="0.35">
      <c r="A144" s="366" t="s">
        <v>122</v>
      </c>
      <c r="B144" s="366" t="s">
        <v>675</v>
      </c>
      <c r="C144" s="363" t="s">
        <v>101</v>
      </c>
      <c r="D144" s="363" t="s">
        <v>534</v>
      </c>
      <c r="E144" s="362" t="s">
        <v>516</v>
      </c>
      <c r="F144" s="366" t="s">
        <v>517</v>
      </c>
      <c r="G144" s="366" t="s">
        <v>518</v>
      </c>
      <c r="H144" s="364" t="s">
        <v>519</v>
      </c>
      <c r="I144" s="364">
        <v>0.66</v>
      </c>
    </row>
    <row r="145" spans="1:9" s="357" customFormat="1" x14ac:dyDescent="0.35">
      <c r="A145" s="372"/>
      <c r="B145" s="372"/>
      <c r="C145" s="354"/>
      <c r="D145" s="354"/>
      <c r="F145" s="372"/>
      <c r="G145" s="372"/>
      <c r="H145" s="371"/>
      <c r="I145" s="364"/>
    </row>
    <row r="146" spans="1:9" x14ac:dyDescent="0.35">
      <c r="A146" s="365" t="s">
        <v>385</v>
      </c>
      <c r="B146" s="365" t="s">
        <v>678</v>
      </c>
      <c r="C146" s="23" t="e">
        <v>#N/A</v>
      </c>
      <c r="D146" s="23" t="s">
        <v>679</v>
      </c>
      <c r="E146" t="s">
        <v>516</v>
      </c>
      <c r="F146" t="s">
        <v>517</v>
      </c>
      <c r="G146" t="s">
        <v>518</v>
      </c>
      <c r="H146" s="361" t="s">
        <v>519</v>
      </c>
      <c r="I146" s="361" t="s">
        <v>788</v>
      </c>
    </row>
    <row r="147" spans="1:9" x14ac:dyDescent="0.35">
      <c r="A147" s="365" t="s">
        <v>385</v>
      </c>
      <c r="B147" s="365" t="s">
        <v>678</v>
      </c>
      <c r="C147" s="23" t="e">
        <v>#N/A</v>
      </c>
      <c r="D147" s="23" t="s">
        <v>679</v>
      </c>
      <c r="E147" t="s">
        <v>531</v>
      </c>
      <c r="F147" t="s">
        <v>680</v>
      </c>
      <c r="G147" t="s">
        <v>681</v>
      </c>
      <c r="H147" s="361" t="s">
        <v>527</v>
      </c>
      <c r="I147" s="361" t="s">
        <v>789</v>
      </c>
    </row>
    <row r="148" spans="1:9" x14ac:dyDescent="0.35">
      <c r="A148" s="366" t="s">
        <v>385</v>
      </c>
      <c r="B148" s="366" t="s">
        <v>678</v>
      </c>
      <c r="C148" s="363" t="e">
        <v>#N/A</v>
      </c>
      <c r="D148" s="363" t="s">
        <v>540</v>
      </c>
      <c r="E148" s="362" t="s">
        <v>516</v>
      </c>
      <c r="F148" s="362" t="s">
        <v>517</v>
      </c>
      <c r="G148" s="362" t="s">
        <v>518</v>
      </c>
      <c r="H148" s="364" t="s">
        <v>519</v>
      </c>
      <c r="I148" s="364" t="s">
        <v>790</v>
      </c>
    </row>
    <row r="149" spans="1:9" x14ac:dyDescent="0.35">
      <c r="A149" s="366" t="s">
        <v>385</v>
      </c>
      <c r="B149" s="366" t="s">
        <v>678</v>
      </c>
      <c r="C149" s="363" t="e">
        <v>#N/A</v>
      </c>
      <c r="D149" s="363" t="s">
        <v>540</v>
      </c>
      <c r="E149" s="362" t="s">
        <v>537</v>
      </c>
      <c r="F149" s="362" t="s">
        <v>639</v>
      </c>
      <c r="G149" s="362" t="s">
        <v>640</v>
      </c>
      <c r="H149" s="364" t="s">
        <v>527</v>
      </c>
      <c r="I149" s="364" t="s">
        <v>791</v>
      </c>
    </row>
    <row r="150" spans="1:9" x14ac:dyDescent="0.35">
      <c r="A150" s="366" t="s">
        <v>385</v>
      </c>
      <c r="B150" s="366" t="s">
        <v>678</v>
      </c>
      <c r="C150" s="363" t="e">
        <v>#N/A</v>
      </c>
      <c r="D150" s="363" t="s">
        <v>540</v>
      </c>
      <c r="E150" s="362" t="s">
        <v>531</v>
      </c>
      <c r="F150" s="362" t="s">
        <v>680</v>
      </c>
      <c r="G150" s="362" t="s">
        <v>681</v>
      </c>
      <c r="H150" s="364" t="s">
        <v>527</v>
      </c>
      <c r="I150" s="364" t="s">
        <v>792</v>
      </c>
    </row>
    <row r="151" spans="1:9" s="357" customFormat="1" x14ac:dyDescent="0.35">
      <c r="A151" s="372"/>
      <c r="B151" s="372"/>
      <c r="C151" s="354"/>
      <c r="D151" s="354"/>
      <c r="H151" s="371"/>
      <c r="I151" s="364"/>
    </row>
    <row r="152" spans="1:9" x14ac:dyDescent="0.35">
      <c r="A152" s="365" t="s">
        <v>266</v>
      </c>
      <c r="B152" s="365" t="s">
        <v>627</v>
      </c>
      <c r="C152" s="23" t="s">
        <v>268</v>
      </c>
      <c r="D152" s="23" t="s">
        <v>515</v>
      </c>
      <c r="E152" t="s">
        <v>516</v>
      </c>
      <c r="F152" t="s">
        <v>682</v>
      </c>
      <c r="G152" t="s">
        <v>683</v>
      </c>
      <c r="H152" s="361" t="s">
        <v>519</v>
      </c>
      <c r="I152" s="361" t="s">
        <v>793</v>
      </c>
    </row>
    <row r="153" spans="1:9" x14ac:dyDescent="0.35">
      <c r="A153" s="365" t="s">
        <v>266</v>
      </c>
      <c r="B153" s="365" t="s">
        <v>627</v>
      </c>
      <c r="C153" s="23" t="s">
        <v>268</v>
      </c>
      <c r="D153" s="23" t="s">
        <v>515</v>
      </c>
      <c r="E153" t="s">
        <v>531</v>
      </c>
      <c r="F153" t="s">
        <v>684</v>
      </c>
      <c r="G153" t="s">
        <v>685</v>
      </c>
      <c r="H153" s="361" t="s">
        <v>527</v>
      </c>
      <c r="I153" s="361" t="s">
        <v>794</v>
      </c>
    </row>
    <row r="154" spans="1:9" x14ac:dyDescent="0.35">
      <c r="A154" s="366" t="s">
        <v>266</v>
      </c>
      <c r="B154" s="366" t="s">
        <v>627</v>
      </c>
      <c r="C154" s="363" t="s">
        <v>268</v>
      </c>
      <c r="D154" s="363" t="s">
        <v>540</v>
      </c>
      <c r="E154" s="362" t="s">
        <v>516</v>
      </c>
      <c r="F154" s="362" t="s">
        <v>682</v>
      </c>
      <c r="G154" s="362" t="s">
        <v>683</v>
      </c>
      <c r="H154" s="364" t="s">
        <v>519</v>
      </c>
      <c r="I154" s="364" t="s">
        <v>795</v>
      </c>
    </row>
    <row r="155" spans="1:9" s="357" customFormat="1" x14ac:dyDescent="0.35">
      <c r="A155" s="372"/>
      <c r="B155" s="372"/>
      <c r="C155" s="354"/>
      <c r="D155" s="354"/>
      <c r="H155" s="371"/>
      <c r="I155" s="364"/>
    </row>
    <row r="156" spans="1:9" x14ac:dyDescent="0.35">
      <c r="A156" s="365" t="s">
        <v>244</v>
      </c>
      <c r="B156" s="365" t="s">
        <v>686</v>
      </c>
      <c r="C156" s="23" t="s">
        <v>262</v>
      </c>
      <c r="D156" s="23" t="s">
        <v>515</v>
      </c>
      <c r="E156" t="s">
        <v>537</v>
      </c>
      <c r="F156" s="361" t="s">
        <v>538</v>
      </c>
      <c r="G156" s="361" t="s">
        <v>539</v>
      </c>
      <c r="H156" s="361" t="s">
        <v>519</v>
      </c>
      <c r="I156" s="361">
        <v>6.05</v>
      </c>
    </row>
    <row r="157" spans="1:9" x14ac:dyDescent="0.35">
      <c r="A157" s="365" t="s">
        <v>244</v>
      </c>
      <c r="B157" s="365" t="s">
        <v>686</v>
      </c>
      <c r="C157" s="23" t="s">
        <v>262</v>
      </c>
      <c r="D157" s="23" t="s">
        <v>515</v>
      </c>
      <c r="E157" t="s">
        <v>537</v>
      </c>
      <c r="F157" s="361" t="s">
        <v>544</v>
      </c>
      <c r="G157" s="361" t="s">
        <v>545</v>
      </c>
      <c r="H157" s="361" t="s">
        <v>527</v>
      </c>
      <c r="I157" s="361">
        <v>0.49</v>
      </c>
    </row>
    <row r="158" spans="1:9" x14ac:dyDescent="0.35">
      <c r="A158" s="365" t="s">
        <v>244</v>
      </c>
      <c r="B158" s="365" t="s">
        <v>686</v>
      </c>
      <c r="C158" s="23" t="s">
        <v>262</v>
      </c>
      <c r="D158" s="23" t="s">
        <v>515</v>
      </c>
      <c r="E158" t="s">
        <v>559</v>
      </c>
      <c r="F158" s="361" t="s">
        <v>687</v>
      </c>
      <c r="G158" s="361" t="s">
        <v>688</v>
      </c>
      <c r="H158" s="361" t="s">
        <v>527</v>
      </c>
      <c r="I158" s="361">
        <v>1.5</v>
      </c>
    </row>
    <row r="159" spans="1:9" x14ac:dyDescent="0.35">
      <c r="A159" s="365" t="s">
        <v>244</v>
      </c>
      <c r="B159" s="365" t="s">
        <v>686</v>
      </c>
      <c r="C159" s="23" t="s">
        <v>262</v>
      </c>
      <c r="D159" s="23" t="s">
        <v>515</v>
      </c>
      <c r="E159" t="s">
        <v>559</v>
      </c>
      <c r="F159" s="361" t="s">
        <v>689</v>
      </c>
      <c r="G159" s="361" t="s">
        <v>690</v>
      </c>
      <c r="H159" s="361" t="s">
        <v>527</v>
      </c>
      <c r="I159" s="361">
        <v>3.99</v>
      </c>
    </row>
    <row r="160" spans="1:9" x14ac:dyDescent="0.35">
      <c r="A160" s="369" t="s">
        <v>244</v>
      </c>
      <c r="B160" s="369" t="s">
        <v>686</v>
      </c>
      <c r="C160" s="368" t="s">
        <v>262</v>
      </c>
      <c r="D160" s="368" t="s">
        <v>546</v>
      </c>
      <c r="E160" s="369" t="s">
        <v>537</v>
      </c>
      <c r="F160" s="369" t="s">
        <v>544</v>
      </c>
      <c r="G160" s="370" t="s">
        <v>545</v>
      </c>
      <c r="H160" s="370" t="s">
        <v>527</v>
      </c>
      <c r="I160" s="370">
        <v>0.99</v>
      </c>
    </row>
    <row r="161" spans="1:9" x14ac:dyDescent="0.35">
      <c r="A161" s="369" t="s">
        <v>244</v>
      </c>
      <c r="B161" s="369" t="s">
        <v>686</v>
      </c>
      <c r="C161" s="368" t="s">
        <v>262</v>
      </c>
      <c r="D161" s="368" t="s">
        <v>546</v>
      </c>
      <c r="E161" s="369" t="s">
        <v>547</v>
      </c>
      <c r="F161" s="369" t="s">
        <v>691</v>
      </c>
      <c r="G161" s="369" t="s">
        <v>692</v>
      </c>
      <c r="H161" s="370" t="s">
        <v>527</v>
      </c>
      <c r="I161" s="370">
        <v>2.4900000000000002</v>
      </c>
    </row>
    <row r="162" spans="1:9" x14ac:dyDescent="0.35">
      <c r="A162" s="366" t="s">
        <v>244</v>
      </c>
      <c r="B162" s="366" t="s">
        <v>686</v>
      </c>
      <c r="C162" s="363" t="s">
        <v>262</v>
      </c>
      <c r="D162" s="363" t="s">
        <v>534</v>
      </c>
      <c r="E162" s="362" t="s">
        <v>537</v>
      </c>
      <c r="F162" s="364" t="s">
        <v>544</v>
      </c>
      <c r="G162" s="364" t="s">
        <v>545</v>
      </c>
      <c r="H162" s="364" t="s">
        <v>527</v>
      </c>
      <c r="I162" s="364">
        <v>0.65</v>
      </c>
    </row>
    <row r="163" spans="1:9" x14ac:dyDescent="0.35">
      <c r="A163" s="366" t="s">
        <v>244</v>
      </c>
      <c r="B163" s="366" t="s">
        <v>686</v>
      </c>
      <c r="C163" s="363" t="s">
        <v>262</v>
      </c>
      <c r="D163" s="363" t="s">
        <v>534</v>
      </c>
      <c r="E163" s="362" t="s">
        <v>547</v>
      </c>
      <c r="F163" s="364" t="s">
        <v>691</v>
      </c>
      <c r="G163" s="364" t="s">
        <v>692</v>
      </c>
      <c r="H163" s="364" t="s">
        <v>527</v>
      </c>
      <c r="I163" s="364">
        <v>1.83</v>
      </c>
    </row>
    <row r="164" spans="1:9" s="357" customFormat="1" x14ac:dyDescent="0.35">
      <c r="A164" s="372"/>
      <c r="B164" s="372"/>
      <c r="C164" s="354"/>
      <c r="D164" s="354"/>
      <c r="F164" s="371"/>
      <c r="G164" s="371"/>
      <c r="H164" s="371"/>
      <c r="I164" s="364"/>
    </row>
    <row r="165" spans="1:9" x14ac:dyDescent="0.35">
      <c r="A165" s="365" t="s">
        <v>693</v>
      </c>
      <c r="B165" s="365" t="s">
        <v>694</v>
      </c>
      <c r="C165" s="23" t="s">
        <v>201</v>
      </c>
      <c r="D165" s="23" t="s">
        <v>515</v>
      </c>
      <c r="E165" t="s">
        <v>559</v>
      </c>
      <c r="F165" t="s">
        <v>695</v>
      </c>
      <c r="G165" t="s">
        <v>576</v>
      </c>
      <c r="H165" s="361" t="s">
        <v>527</v>
      </c>
      <c r="I165" s="361" t="s">
        <v>796</v>
      </c>
    </row>
    <row r="166" spans="1:9" x14ac:dyDescent="0.35">
      <c r="A166" s="365" t="s">
        <v>693</v>
      </c>
      <c r="B166" s="365" t="s">
        <v>694</v>
      </c>
      <c r="C166" s="23" t="s">
        <v>201</v>
      </c>
      <c r="D166" s="23" t="s">
        <v>515</v>
      </c>
      <c r="E166" t="s">
        <v>531</v>
      </c>
      <c r="F166" t="s">
        <v>696</v>
      </c>
      <c r="G166" t="s">
        <v>697</v>
      </c>
      <c r="H166" s="361" t="s">
        <v>527</v>
      </c>
      <c r="I166" s="361" t="s">
        <v>797</v>
      </c>
    </row>
    <row r="167" spans="1:9" x14ac:dyDescent="0.35">
      <c r="A167" s="365" t="s">
        <v>693</v>
      </c>
      <c r="B167" s="365" t="s">
        <v>694</v>
      </c>
      <c r="C167" s="23" t="s">
        <v>201</v>
      </c>
      <c r="D167" s="23" t="s">
        <v>515</v>
      </c>
      <c r="E167" t="s">
        <v>531</v>
      </c>
      <c r="F167" t="s">
        <v>698</v>
      </c>
      <c r="G167" t="s">
        <v>699</v>
      </c>
      <c r="H167" s="361" t="s">
        <v>527</v>
      </c>
      <c r="I167" s="361" t="s">
        <v>798</v>
      </c>
    </row>
    <row r="168" spans="1:9" x14ac:dyDescent="0.35">
      <c r="A168" s="366" t="s">
        <v>693</v>
      </c>
      <c r="B168" s="366" t="s">
        <v>694</v>
      </c>
      <c r="C168" s="363" t="s">
        <v>201</v>
      </c>
      <c r="D168" s="363" t="s">
        <v>534</v>
      </c>
      <c r="E168" s="362" t="s">
        <v>559</v>
      </c>
      <c r="F168" s="362" t="s">
        <v>695</v>
      </c>
      <c r="G168" s="362" t="s">
        <v>576</v>
      </c>
      <c r="H168" s="364" t="s">
        <v>527</v>
      </c>
      <c r="I168" s="364" t="s">
        <v>799</v>
      </c>
    </row>
    <row r="169" spans="1:9" x14ac:dyDescent="0.35">
      <c r="A169" s="366" t="s">
        <v>693</v>
      </c>
      <c r="B169" s="366" t="s">
        <v>694</v>
      </c>
      <c r="C169" s="363" t="s">
        <v>201</v>
      </c>
      <c r="D169" s="363" t="s">
        <v>534</v>
      </c>
      <c r="E169" s="362" t="s">
        <v>531</v>
      </c>
      <c r="F169" s="362" t="s">
        <v>696</v>
      </c>
      <c r="G169" s="362" t="s">
        <v>697</v>
      </c>
      <c r="H169" s="364" t="s">
        <v>527</v>
      </c>
      <c r="I169" s="364" t="s">
        <v>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32"/>
  <sheetViews>
    <sheetView workbookViewId="0">
      <selection activeCell="A30" sqref="A7:A30"/>
    </sheetView>
  </sheetViews>
  <sheetFormatPr baseColWidth="10" defaultRowHeight="14.5" x14ac:dyDescent="0.35"/>
  <cols>
    <col min="2" max="2" width="15.36328125" customWidth="1"/>
    <col min="3" max="3" width="17.6328125" customWidth="1"/>
    <col min="4" max="4" width="47.453125" customWidth="1"/>
    <col min="5" max="5" width="20.36328125" customWidth="1"/>
    <col min="6" max="6" width="14.6328125" customWidth="1"/>
    <col min="7" max="7" width="16.1796875" customWidth="1"/>
    <col min="8" max="8" width="21.81640625" customWidth="1"/>
    <col min="9" max="9" width="29.6328125" customWidth="1"/>
    <col min="10" max="10" width="17" customWidth="1"/>
    <col min="11" max="11" width="15.453125" customWidth="1"/>
    <col min="12" max="12" width="16.1796875" customWidth="1"/>
    <col min="13" max="13" width="27.81640625" customWidth="1"/>
    <col min="14" max="14" width="17.36328125" customWidth="1"/>
  </cols>
  <sheetData>
    <row r="1" spans="1:14" x14ac:dyDescent="0.35">
      <c r="A1" t="s">
        <v>0</v>
      </c>
      <c r="B1" t="s">
        <v>801</v>
      </c>
      <c r="C1" t="s">
        <v>802</v>
      </c>
      <c r="D1" t="s">
        <v>810</v>
      </c>
      <c r="E1" t="s">
        <v>811</v>
      </c>
      <c r="F1" t="s">
        <v>803</v>
      </c>
      <c r="G1" t="s">
        <v>804</v>
      </c>
      <c r="H1" t="s">
        <v>808</v>
      </c>
      <c r="I1" t="s">
        <v>807</v>
      </c>
      <c r="J1" t="s">
        <v>805</v>
      </c>
      <c r="K1" t="s">
        <v>806</v>
      </c>
      <c r="L1" t="s">
        <v>822</v>
      </c>
      <c r="M1" t="s">
        <v>823</v>
      </c>
      <c r="N1" t="s">
        <v>809</v>
      </c>
    </row>
    <row r="2" spans="1:14" hidden="1" x14ac:dyDescent="0.35">
      <c r="A2" s="365" t="s">
        <v>105</v>
      </c>
      <c r="B2" s="365" t="s">
        <v>609</v>
      </c>
      <c r="C2" s="23" t="s">
        <v>99</v>
      </c>
      <c r="D2" t="s">
        <v>844</v>
      </c>
      <c r="E2" t="s">
        <v>844</v>
      </c>
      <c r="F2" t="s">
        <v>845</v>
      </c>
      <c r="G2">
        <v>0</v>
      </c>
      <c r="H2" t="s">
        <v>844</v>
      </c>
      <c r="I2" t="s">
        <v>844</v>
      </c>
      <c r="J2" t="s">
        <v>846</v>
      </c>
      <c r="K2">
        <v>0</v>
      </c>
      <c r="L2">
        <v>0</v>
      </c>
      <c r="M2" t="s">
        <v>832</v>
      </c>
      <c r="N2" t="s">
        <v>816</v>
      </c>
    </row>
    <row r="3" spans="1:14" hidden="1" x14ac:dyDescent="0.35">
      <c r="A3" s="365" t="s">
        <v>115</v>
      </c>
      <c r="B3" s="365" t="s">
        <v>630</v>
      </c>
      <c r="C3" s="23" t="s">
        <v>100</v>
      </c>
      <c r="D3" t="s">
        <v>839</v>
      </c>
      <c r="E3" t="s">
        <v>839</v>
      </c>
      <c r="F3">
        <v>0</v>
      </c>
      <c r="G3">
        <v>0</v>
      </c>
      <c r="H3" t="s">
        <v>839</v>
      </c>
      <c r="I3" t="s">
        <v>853</v>
      </c>
      <c r="J3" t="s">
        <v>831</v>
      </c>
      <c r="K3">
        <v>0</v>
      </c>
      <c r="L3">
        <v>0</v>
      </c>
      <c r="M3" t="s">
        <v>854</v>
      </c>
      <c r="N3" t="s">
        <v>819</v>
      </c>
    </row>
    <row r="4" spans="1:14" hidden="1" x14ac:dyDescent="0.35">
      <c r="A4" s="365" t="s">
        <v>122</v>
      </c>
      <c r="B4" s="365" t="s">
        <v>675</v>
      </c>
      <c r="C4" s="23" t="s">
        <v>101</v>
      </c>
      <c r="D4" t="s">
        <v>866</v>
      </c>
      <c r="E4" t="s">
        <v>839</v>
      </c>
      <c r="F4">
        <v>0</v>
      </c>
      <c r="G4" t="s">
        <v>37</v>
      </c>
      <c r="H4" t="s">
        <v>839</v>
      </c>
      <c r="I4" t="s">
        <v>298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hidden="1" x14ac:dyDescent="0.35">
      <c r="A5" t="s">
        <v>128</v>
      </c>
      <c r="B5" t="s">
        <v>597</v>
      </c>
      <c r="C5" s="23" t="s">
        <v>102</v>
      </c>
      <c r="D5" t="s">
        <v>841</v>
      </c>
      <c r="E5" t="s">
        <v>842</v>
      </c>
      <c r="F5">
        <v>0</v>
      </c>
      <c r="G5">
        <v>0</v>
      </c>
      <c r="H5" t="s">
        <v>37</v>
      </c>
      <c r="I5">
        <v>0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</row>
    <row r="6" spans="1:14" hidden="1" x14ac:dyDescent="0.35">
      <c r="A6" s="365" t="s">
        <v>137</v>
      </c>
      <c r="B6" s="365" t="s">
        <v>608</v>
      </c>
      <c r="C6" s="23" t="s">
        <v>104</v>
      </c>
      <c r="D6" t="s">
        <v>820</v>
      </c>
      <c r="E6" t="s">
        <v>820</v>
      </c>
      <c r="F6">
        <v>0</v>
      </c>
      <c r="G6" t="s">
        <v>37</v>
      </c>
      <c r="H6" t="s">
        <v>820</v>
      </c>
      <c r="I6" t="s">
        <v>820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5">
      <c r="A7" t="s">
        <v>582</v>
      </c>
      <c r="B7" t="s">
        <v>583</v>
      </c>
      <c r="C7" s="23" t="s">
        <v>152</v>
      </c>
      <c r="D7" t="s">
        <v>299</v>
      </c>
      <c r="E7" t="s">
        <v>299</v>
      </c>
      <c r="F7" t="s">
        <v>37</v>
      </c>
      <c r="G7" t="s">
        <v>37</v>
      </c>
      <c r="H7" t="s">
        <v>37</v>
      </c>
      <c r="I7" t="s">
        <v>299</v>
      </c>
      <c r="J7" t="s">
        <v>37</v>
      </c>
      <c r="K7" t="s">
        <v>37</v>
      </c>
      <c r="L7">
        <v>0</v>
      </c>
      <c r="M7" t="s">
        <v>37</v>
      </c>
      <c r="N7" t="s">
        <v>37</v>
      </c>
    </row>
    <row r="8" spans="1:14" hidden="1" x14ac:dyDescent="0.35">
      <c r="A8" t="s">
        <v>593</v>
      </c>
      <c r="B8" t="s">
        <v>594</v>
      </c>
      <c r="C8" s="23" t="s">
        <v>157</v>
      </c>
      <c r="D8" t="s">
        <v>298</v>
      </c>
      <c r="E8" t="s">
        <v>298</v>
      </c>
      <c r="F8" t="s">
        <v>37</v>
      </c>
      <c r="G8" t="s">
        <v>37</v>
      </c>
      <c r="H8" t="s">
        <v>37</v>
      </c>
      <c r="I8" t="s">
        <v>839</v>
      </c>
      <c r="J8" t="s">
        <v>37</v>
      </c>
      <c r="K8" t="s">
        <v>37</v>
      </c>
      <c r="L8" t="s">
        <v>37</v>
      </c>
      <c r="M8" t="s">
        <v>840</v>
      </c>
      <c r="N8" t="s">
        <v>816</v>
      </c>
    </row>
    <row r="9" spans="1:14" x14ac:dyDescent="0.35">
      <c r="A9" t="s">
        <v>142</v>
      </c>
      <c r="B9" t="s">
        <v>567</v>
      </c>
      <c r="C9" s="23" t="s">
        <v>172</v>
      </c>
      <c r="D9" t="s">
        <v>824</v>
      </c>
      <c r="E9" t="s">
        <v>825</v>
      </c>
      <c r="F9">
        <v>0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</row>
    <row r="10" spans="1:14" hidden="1" x14ac:dyDescent="0.35">
      <c r="A10" s="365" t="s">
        <v>177</v>
      </c>
      <c r="B10" s="365" t="s">
        <v>614</v>
      </c>
      <c r="C10" s="23" t="s">
        <v>180</v>
      </c>
      <c r="D10" t="s">
        <v>848</v>
      </c>
      <c r="E10" t="s">
        <v>847</v>
      </c>
      <c r="F10">
        <v>0</v>
      </c>
      <c r="G10">
        <v>0</v>
      </c>
      <c r="H10" t="s">
        <v>849</v>
      </c>
      <c r="I10" t="s">
        <v>847</v>
      </c>
      <c r="J10" t="s">
        <v>37</v>
      </c>
      <c r="K10">
        <v>0</v>
      </c>
      <c r="L10">
        <v>0</v>
      </c>
      <c r="M10" t="s">
        <v>815</v>
      </c>
      <c r="N10" t="s">
        <v>816</v>
      </c>
    </row>
    <row r="11" spans="1:14" x14ac:dyDescent="0.35">
      <c r="A11" s="365" t="s">
        <v>182</v>
      </c>
      <c r="B11" s="365" t="s">
        <v>672</v>
      </c>
      <c r="C11" s="23" t="s">
        <v>181</v>
      </c>
      <c r="D11" t="s">
        <v>825</v>
      </c>
      <c r="E11">
        <v>0</v>
      </c>
      <c r="F11" t="s">
        <v>37</v>
      </c>
      <c r="G11" t="s">
        <v>37</v>
      </c>
      <c r="H11" t="s">
        <v>37</v>
      </c>
      <c r="I11" t="s">
        <v>865</v>
      </c>
      <c r="J11" t="s">
        <v>37</v>
      </c>
      <c r="K11" t="s">
        <v>37</v>
      </c>
      <c r="L11" t="s">
        <v>37</v>
      </c>
      <c r="M11" t="s">
        <v>815</v>
      </c>
      <c r="N11" t="s">
        <v>816</v>
      </c>
    </row>
    <row r="12" spans="1:14" x14ac:dyDescent="0.35">
      <c r="A12" s="365" t="s">
        <v>535</v>
      </c>
      <c r="B12" s="365" t="s">
        <v>536</v>
      </c>
      <c r="C12" s="23" t="s">
        <v>193</v>
      </c>
      <c r="D12" t="s">
        <v>299</v>
      </c>
      <c r="E12" t="s">
        <v>299</v>
      </c>
      <c r="F12" t="s">
        <v>37</v>
      </c>
      <c r="G12">
        <v>0</v>
      </c>
      <c r="H12" t="s">
        <v>880</v>
      </c>
      <c r="I12" t="s">
        <v>817</v>
      </c>
      <c r="J12" t="s">
        <v>37</v>
      </c>
      <c r="K12" t="s">
        <v>37</v>
      </c>
      <c r="L12">
        <v>0</v>
      </c>
      <c r="M12" t="s">
        <v>818</v>
      </c>
      <c r="N12" t="s">
        <v>819</v>
      </c>
    </row>
    <row r="13" spans="1:14" x14ac:dyDescent="0.35">
      <c r="A13" s="374" t="s">
        <v>693</v>
      </c>
      <c r="B13" s="365" t="s">
        <v>694</v>
      </c>
      <c r="C13" s="23" t="s">
        <v>201</v>
      </c>
      <c r="D13" t="s">
        <v>299</v>
      </c>
      <c r="E13" t="s">
        <v>871</v>
      </c>
      <c r="F13" t="s">
        <v>37</v>
      </c>
      <c r="G13">
        <v>0</v>
      </c>
      <c r="H13" t="s">
        <v>37</v>
      </c>
      <c r="I13" t="s">
        <v>872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</row>
    <row r="14" spans="1:14" hidden="1" x14ac:dyDescent="0.35">
      <c r="A14" t="s">
        <v>223</v>
      </c>
      <c r="B14" t="s">
        <v>514</v>
      </c>
      <c r="C14" s="23" t="s">
        <v>214</v>
      </c>
      <c r="D14" t="s">
        <v>812</v>
      </c>
      <c r="E14" t="s">
        <v>813</v>
      </c>
      <c r="F14">
        <v>0</v>
      </c>
      <c r="G14" t="s">
        <v>37</v>
      </c>
      <c r="H14" t="s">
        <v>812</v>
      </c>
      <c r="I14" t="s">
        <v>812</v>
      </c>
      <c r="J14" t="s">
        <v>814</v>
      </c>
      <c r="K14">
        <v>0</v>
      </c>
      <c r="L14">
        <v>0</v>
      </c>
      <c r="M14" t="s">
        <v>815</v>
      </c>
      <c r="N14" t="s">
        <v>816</v>
      </c>
    </row>
    <row r="15" spans="1:14" hidden="1" x14ac:dyDescent="0.35">
      <c r="A15" s="357" t="s">
        <v>236</v>
      </c>
      <c r="B15" s="357" t="s">
        <v>651</v>
      </c>
      <c r="C15" s="354" t="s">
        <v>234</v>
      </c>
      <c r="D15" t="s">
        <v>858</v>
      </c>
      <c r="E15" t="s">
        <v>37</v>
      </c>
      <c r="F15" t="s">
        <v>37</v>
      </c>
      <c r="G15">
        <v>0</v>
      </c>
      <c r="H15" t="s">
        <v>858</v>
      </c>
      <c r="I15" t="s">
        <v>843</v>
      </c>
      <c r="J15">
        <v>0</v>
      </c>
      <c r="K15" t="s">
        <v>37</v>
      </c>
      <c r="L15">
        <v>0</v>
      </c>
      <c r="M15">
        <v>0</v>
      </c>
      <c r="N15">
        <v>0</v>
      </c>
    </row>
    <row r="16" spans="1:14" hidden="1" x14ac:dyDescent="0.35">
      <c r="A16" s="365" t="s">
        <v>250</v>
      </c>
      <c r="B16" s="365" t="s">
        <v>646</v>
      </c>
      <c r="C16" s="23" t="s">
        <v>253</v>
      </c>
      <c r="D16" t="s">
        <v>37</v>
      </c>
      <c r="E16" t="s">
        <v>857</v>
      </c>
      <c r="F16" t="s">
        <v>37</v>
      </c>
      <c r="G16" t="s">
        <v>37</v>
      </c>
      <c r="H16" t="s">
        <v>37</v>
      </c>
      <c r="I16" t="s">
        <v>839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</row>
    <row r="17" spans="1:14" hidden="1" x14ac:dyDescent="0.35">
      <c r="A17" s="365" t="s">
        <v>247</v>
      </c>
      <c r="B17" s="365" t="s">
        <v>603</v>
      </c>
      <c r="C17" s="23" t="s">
        <v>255</v>
      </c>
      <c r="D17" t="s">
        <v>843</v>
      </c>
      <c r="E17" t="s">
        <v>843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</row>
    <row r="18" spans="1:14" hidden="1" x14ac:dyDescent="0.35">
      <c r="A18" s="365" t="s">
        <v>259</v>
      </c>
      <c r="B18" s="365" t="s">
        <v>556</v>
      </c>
      <c r="C18" s="23" t="s">
        <v>260</v>
      </c>
      <c r="D18" t="s">
        <v>820</v>
      </c>
      <c r="E18" t="s">
        <v>821</v>
      </c>
      <c r="F18">
        <v>0</v>
      </c>
      <c r="G18">
        <v>0</v>
      </c>
      <c r="H18" t="s">
        <v>820</v>
      </c>
      <c r="I18" t="s">
        <v>821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 s="365" t="s">
        <v>244</v>
      </c>
      <c r="B19" s="365" t="s">
        <v>686</v>
      </c>
      <c r="C19" s="23" t="s">
        <v>262</v>
      </c>
      <c r="D19" t="s">
        <v>869</v>
      </c>
      <c r="E19" t="s">
        <v>868</v>
      </c>
      <c r="F19" t="s">
        <v>37</v>
      </c>
      <c r="G19">
        <v>0</v>
      </c>
      <c r="H19" t="s">
        <v>37</v>
      </c>
      <c r="I19" t="s">
        <v>870</v>
      </c>
      <c r="J19" t="s">
        <v>37</v>
      </c>
      <c r="K19" t="s">
        <v>37</v>
      </c>
      <c r="L19" t="s">
        <v>37</v>
      </c>
      <c r="M19" t="s">
        <v>840</v>
      </c>
      <c r="N19" t="s">
        <v>816</v>
      </c>
    </row>
    <row r="20" spans="1:14" hidden="1" x14ac:dyDescent="0.35">
      <c r="A20" s="374" t="s">
        <v>266</v>
      </c>
      <c r="B20" s="365" t="s">
        <v>627</v>
      </c>
      <c r="C20" s="23" t="s">
        <v>268</v>
      </c>
      <c r="D20" t="s">
        <v>820</v>
      </c>
      <c r="E20" t="s">
        <v>843</v>
      </c>
      <c r="F20" t="s">
        <v>37</v>
      </c>
      <c r="G20">
        <v>0</v>
      </c>
      <c r="H20" t="s">
        <v>867</v>
      </c>
      <c r="I20" t="s">
        <v>820</v>
      </c>
      <c r="J20">
        <v>0</v>
      </c>
      <c r="K20" t="s">
        <v>37</v>
      </c>
      <c r="L20">
        <v>0</v>
      </c>
      <c r="M20" t="s">
        <v>836</v>
      </c>
      <c r="N20" t="s">
        <v>816</v>
      </c>
    </row>
    <row r="21" spans="1:14" x14ac:dyDescent="0.35">
      <c r="A21" s="365" t="s">
        <v>272</v>
      </c>
      <c r="B21" s="365" t="s">
        <v>655</v>
      </c>
      <c r="C21" s="23" t="s">
        <v>278</v>
      </c>
      <c r="D21" t="s">
        <v>299</v>
      </c>
      <c r="E21" t="s">
        <v>852</v>
      </c>
      <c r="F21">
        <v>0</v>
      </c>
      <c r="G21">
        <v>0</v>
      </c>
      <c r="H21" t="s">
        <v>37</v>
      </c>
      <c r="I21" t="s">
        <v>852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</row>
    <row r="22" spans="1:14" x14ac:dyDescent="0.35">
      <c r="A22" s="372" t="s">
        <v>301</v>
      </c>
      <c r="B22" s="372" t="s">
        <v>666</v>
      </c>
      <c r="C22" s="354" t="s">
        <v>307</v>
      </c>
      <c r="D22" t="s">
        <v>829</v>
      </c>
      <c r="E22" t="s">
        <v>37</v>
      </c>
      <c r="F22" t="s">
        <v>37</v>
      </c>
      <c r="G22" t="s">
        <v>37</v>
      </c>
      <c r="H22" t="s">
        <v>863</v>
      </c>
      <c r="I22" t="s">
        <v>864</v>
      </c>
      <c r="K22" t="s">
        <v>37</v>
      </c>
      <c r="L22" t="s">
        <v>37</v>
      </c>
      <c r="M22" t="s">
        <v>837</v>
      </c>
      <c r="N22" t="s">
        <v>819</v>
      </c>
    </row>
    <row r="23" spans="1:14" x14ac:dyDescent="0.35">
      <c r="A23" t="s">
        <v>303</v>
      </c>
      <c r="B23" t="s">
        <v>584</v>
      </c>
      <c r="C23" s="23" t="s">
        <v>308</v>
      </c>
      <c r="D23" t="s">
        <v>299</v>
      </c>
      <c r="E23" t="s">
        <v>833</v>
      </c>
      <c r="F23">
        <v>0</v>
      </c>
      <c r="G23" t="s">
        <v>37</v>
      </c>
      <c r="H23" t="s">
        <v>562</v>
      </c>
      <c r="I23" t="s">
        <v>834</v>
      </c>
      <c r="J23">
        <v>0</v>
      </c>
      <c r="K23" t="s">
        <v>37</v>
      </c>
      <c r="L23" t="s">
        <v>835</v>
      </c>
      <c r="M23" t="s">
        <v>838</v>
      </c>
      <c r="N23" t="s">
        <v>819</v>
      </c>
    </row>
    <row r="24" spans="1:14" x14ac:dyDescent="0.35">
      <c r="A24" t="s">
        <v>305</v>
      </c>
      <c r="B24" t="s">
        <v>622</v>
      </c>
      <c r="C24" s="23" t="s">
        <v>309</v>
      </c>
      <c r="D24" t="s">
        <v>299</v>
      </c>
      <c r="E24" t="s">
        <v>851</v>
      </c>
      <c r="F24">
        <v>0</v>
      </c>
      <c r="G24" t="s">
        <v>37</v>
      </c>
      <c r="H24" t="s">
        <v>37</v>
      </c>
      <c r="I24" t="s">
        <v>299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</row>
    <row r="25" spans="1:14" hidden="1" x14ac:dyDescent="0.35">
      <c r="A25" t="s">
        <v>310</v>
      </c>
      <c r="B25" t="s">
        <v>577</v>
      </c>
      <c r="C25" s="23" t="s">
        <v>318</v>
      </c>
      <c r="D25" t="s">
        <v>830</v>
      </c>
      <c r="E25" t="s">
        <v>830</v>
      </c>
      <c r="F25" t="s">
        <v>37</v>
      </c>
      <c r="G25" t="s">
        <v>37</v>
      </c>
      <c r="H25" t="s">
        <v>830</v>
      </c>
      <c r="I25" t="s">
        <v>830</v>
      </c>
      <c r="J25" t="s">
        <v>831</v>
      </c>
      <c r="K25">
        <v>0</v>
      </c>
      <c r="L25" t="s">
        <v>37</v>
      </c>
      <c r="M25" t="s">
        <v>832</v>
      </c>
      <c r="N25" t="s">
        <v>816</v>
      </c>
    </row>
    <row r="26" spans="1:14" x14ac:dyDescent="0.35">
      <c r="A26" s="365" t="s">
        <v>314</v>
      </c>
      <c r="B26" s="365" t="s">
        <v>627</v>
      </c>
      <c r="C26" s="23" t="s">
        <v>323</v>
      </c>
      <c r="D26" t="s">
        <v>829</v>
      </c>
      <c r="E26" t="s">
        <v>852</v>
      </c>
      <c r="F26">
        <v>0</v>
      </c>
      <c r="G26">
        <v>0</v>
      </c>
      <c r="H26" t="s">
        <v>37</v>
      </c>
      <c r="I26" t="s">
        <v>852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</row>
    <row r="27" spans="1:14" x14ac:dyDescent="0.35">
      <c r="A27" s="365" t="s">
        <v>320</v>
      </c>
      <c r="B27" s="365" t="s">
        <v>614</v>
      </c>
      <c r="C27" s="23" t="s">
        <v>326</v>
      </c>
      <c r="D27" t="s">
        <v>859</v>
      </c>
      <c r="E27" t="s">
        <v>861</v>
      </c>
      <c r="F27" t="s">
        <v>860</v>
      </c>
      <c r="G27">
        <v>0</v>
      </c>
      <c r="H27" t="s">
        <v>859</v>
      </c>
      <c r="I27" t="s">
        <v>862</v>
      </c>
      <c r="J27" t="s">
        <v>860</v>
      </c>
      <c r="K27" t="s">
        <v>37</v>
      </c>
      <c r="L27" t="s">
        <v>37</v>
      </c>
      <c r="M27" t="s">
        <v>815</v>
      </c>
      <c r="N27" t="s">
        <v>816</v>
      </c>
    </row>
    <row r="28" spans="1:14" x14ac:dyDescent="0.35">
      <c r="A28" s="365" t="s">
        <v>312</v>
      </c>
      <c r="B28" s="365" t="s">
        <v>571</v>
      </c>
      <c r="C28" s="23" t="s">
        <v>324</v>
      </c>
      <c r="D28" t="s">
        <v>829</v>
      </c>
      <c r="E28" t="s">
        <v>826</v>
      </c>
      <c r="F28">
        <v>0</v>
      </c>
      <c r="G28">
        <v>0</v>
      </c>
      <c r="H28" t="s">
        <v>827</v>
      </c>
      <c r="I28" t="s">
        <v>826</v>
      </c>
      <c r="J28">
        <v>0</v>
      </c>
      <c r="K28">
        <v>0</v>
      </c>
      <c r="L28" t="s">
        <v>828</v>
      </c>
      <c r="M28">
        <v>0</v>
      </c>
      <c r="N28">
        <v>0</v>
      </c>
    </row>
    <row r="29" spans="1:14" x14ac:dyDescent="0.35">
      <c r="A29" t="s">
        <v>335</v>
      </c>
      <c r="B29" t="s">
        <v>633</v>
      </c>
      <c r="C29" s="23" t="s">
        <v>342</v>
      </c>
      <c r="D29" t="s">
        <v>855</v>
      </c>
      <c r="E29" t="s">
        <v>833</v>
      </c>
      <c r="F29">
        <v>0</v>
      </c>
      <c r="G29" t="s">
        <v>37</v>
      </c>
      <c r="H29" t="s">
        <v>37</v>
      </c>
      <c r="I29" t="s">
        <v>856</v>
      </c>
      <c r="J29" t="s">
        <v>37</v>
      </c>
      <c r="K29" t="s">
        <v>37</v>
      </c>
      <c r="L29" t="s">
        <v>37</v>
      </c>
      <c r="M29" t="s">
        <v>815</v>
      </c>
      <c r="N29" t="s">
        <v>819</v>
      </c>
    </row>
    <row r="30" spans="1:14" x14ac:dyDescent="0.35">
      <c r="A30" s="365" t="s">
        <v>337</v>
      </c>
      <c r="B30" s="365" t="s">
        <v>617</v>
      </c>
      <c r="C30" s="23" t="s">
        <v>343</v>
      </c>
      <c r="D30" t="s">
        <v>829</v>
      </c>
      <c r="E30" t="s">
        <v>850</v>
      </c>
      <c r="F30">
        <v>0</v>
      </c>
      <c r="G30">
        <v>0</v>
      </c>
      <c r="H30" t="s">
        <v>37</v>
      </c>
      <c r="I30">
        <v>0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</row>
    <row r="31" spans="1:14" x14ac:dyDescent="0.35">
      <c r="A31" s="374"/>
      <c r="B31" s="365"/>
      <c r="C31" s="25"/>
    </row>
    <row r="32" spans="1:14" x14ac:dyDescent="0.35">
      <c r="D32" s="25"/>
    </row>
  </sheetData>
  <autoFilter ref="A1:N32">
    <filterColumn colId="3">
      <filters blank="1">
        <filter val="KRAS G12C"/>
        <filter val="KRAS G12C / CDKN2A"/>
        <filter val="KRAS G12C / PIK3CA"/>
        <filter val="KRAS G12C / STK11 / MET"/>
        <filter val="KRAS G12C*"/>
        <filter val="KRAS G12C/ STK11"/>
        <filter val="KRAS G12C/ STK11/ MET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A25" sqref="A25:A26"/>
    </sheetView>
  </sheetViews>
  <sheetFormatPr baseColWidth="10" defaultRowHeight="14.5" x14ac:dyDescent="0.35"/>
  <sheetData>
    <row r="1" spans="1:14" ht="15.5" x14ac:dyDescent="0.35">
      <c r="A1" s="314"/>
      <c r="B1" t="s">
        <v>906</v>
      </c>
    </row>
    <row r="2" spans="1:14" ht="47" thickBot="1" x14ac:dyDescent="0.4">
      <c r="A2" s="326" t="s">
        <v>430</v>
      </c>
    </row>
    <row r="3" spans="1:14" x14ac:dyDescent="0.35">
      <c r="A3" s="328" t="s">
        <v>37</v>
      </c>
      <c r="B3">
        <v>204</v>
      </c>
    </row>
    <row r="4" spans="1:14" x14ac:dyDescent="0.35">
      <c r="A4" s="328">
        <v>200</v>
      </c>
      <c r="B4">
        <v>118</v>
      </c>
    </row>
    <row r="5" spans="1:14" x14ac:dyDescent="0.35">
      <c r="A5" s="328">
        <v>55</v>
      </c>
      <c r="B5">
        <v>563</v>
      </c>
      <c r="I5" t="s">
        <v>907</v>
      </c>
      <c r="J5">
        <v>563</v>
      </c>
      <c r="M5" t="s">
        <v>908</v>
      </c>
      <c r="N5">
        <v>118</v>
      </c>
    </row>
    <row r="6" spans="1:14" x14ac:dyDescent="0.35">
      <c r="A6" s="328">
        <v>65</v>
      </c>
      <c r="B6">
        <v>650</v>
      </c>
      <c r="J6">
        <v>650</v>
      </c>
      <c r="N6">
        <v>714</v>
      </c>
    </row>
    <row r="7" spans="1:14" x14ac:dyDescent="0.35">
      <c r="A7" s="328">
        <v>281.5</v>
      </c>
      <c r="B7">
        <v>714</v>
      </c>
      <c r="J7" s="11">
        <v>804</v>
      </c>
      <c r="N7">
        <v>88</v>
      </c>
    </row>
    <row r="8" spans="1:14" x14ac:dyDescent="0.35">
      <c r="A8" s="328">
        <v>265</v>
      </c>
      <c r="B8">
        <v>88</v>
      </c>
      <c r="J8">
        <v>837</v>
      </c>
      <c r="N8">
        <v>782</v>
      </c>
    </row>
    <row r="9" spans="1:14" x14ac:dyDescent="0.35">
      <c r="A9" s="328">
        <v>52.5</v>
      </c>
      <c r="B9" s="11">
        <v>804</v>
      </c>
      <c r="J9">
        <v>792</v>
      </c>
      <c r="N9">
        <v>279</v>
      </c>
    </row>
    <row r="10" spans="1:14" x14ac:dyDescent="0.35">
      <c r="A10" s="328">
        <v>5</v>
      </c>
      <c r="B10">
        <v>837</v>
      </c>
      <c r="J10">
        <v>113</v>
      </c>
      <c r="N10">
        <v>55</v>
      </c>
    </row>
    <row r="11" spans="1:14" x14ac:dyDescent="0.35">
      <c r="A11" s="328">
        <v>277.5</v>
      </c>
      <c r="B11">
        <v>782</v>
      </c>
      <c r="N11">
        <v>101</v>
      </c>
    </row>
    <row r="12" spans="1:14" x14ac:dyDescent="0.35">
      <c r="A12" s="328">
        <v>285</v>
      </c>
      <c r="B12">
        <v>279</v>
      </c>
      <c r="N12">
        <v>183</v>
      </c>
    </row>
    <row r="13" spans="1:14" x14ac:dyDescent="0.35">
      <c r="A13" s="328">
        <v>293.5</v>
      </c>
      <c r="B13">
        <v>55</v>
      </c>
      <c r="J13">
        <f>AVERAGE(J5:J10)</f>
        <v>626.5</v>
      </c>
      <c r="N13">
        <v>113</v>
      </c>
    </row>
    <row r="14" spans="1:14" x14ac:dyDescent="0.35">
      <c r="A14" s="328">
        <v>202</v>
      </c>
      <c r="B14">
        <v>101</v>
      </c>
      <c r="N14">
        <v>170</v>
      </c>
    </row>
    <row r="15" spans="1:14" x14ac:dyDescent="0.35">
      <c r="A15" s="328">
        <v>240</v>
      </c>
      <c r="B15">
        <v>183</v>
      </c>
      <c r="N15">
        <v>56</v>
      </c>
    </row>
    <row r="16" spans="1:14" x14ac:dyDescent="0.35">
      <c r="A16" s="329">
        <v>247.5</v>
      </c>
      <c r="B16">
        <v>113</v>
      </c>
      <c r="N16" s="11">
        <v>567</v>
      </c>
    </row>
    <row r="17" spans="1:14" x14ac:dyDescent="0.35">
      <c r="A17" s="330">
        <v>232.5</v>
      </c>
      <c r="B17">
        <v>170</v>
      </c>
      <c r="N17" s="11">
        <v>503</v>
      </c>
    </row>
    <row r="18" spans="1:14" x14ac:dyDescent="0.35">
      <c r="A18" s="331">
        <v>212.5</v>
      </c>
      <c r="B18">
        <v>56</v>
      </c>
      <c r="N18">
        <v>198</v>
      </c>
    </row>
    <row r="19" spans="1:14" x14ac:dyDescent="0.35">
      <c r="A19" s="328">
        <v>0</v>
      </c>
      <c r="B19">
        <v>792</v>
      </c>
      <c r="N19">
        <v>390</v>
      </c>
    </row>
    <row r="20" spans="1:14" x14ac:dyDescent="0.35">
      <c r="A20" s="328">
        <v>26.5</v>
      </c>
      <c r="B20">
        <v>113</v>
      </c>
    </row>
    <row r="21" spans="1:14" x14ac:dyDescent="0.35">
      <c r="A21" s="328">
        <v>252.5</v>
      </c>
      <c r="B21" s="11">
        <v>567</v>
      </c>
      <c r="N21">
        <f>AVERAGE(N5:N19)</f>
        <v>287.8</v>
      </c>
    </row>
    <row r="22" spans="1:14" x14ac:dyDescent="0.35">
      <c r="A22" s="328">
        <v>293</v>
      </c>
      <c r="B22" s="11">
        <v>503</v>
      </c>
    </row>
    <row r="23" spans="1:14" x14ac:dyDescent="0.35">
      <c r="A23" s="328">
        <v>270</v>
      </c>
      <c r="B23">
        <v>198</v>
      </c>
    </row>
    <row r="24" spans="1:14" x14ac:dyDescent="0.35">
      <c r="A24" s="328">
        <v>237.5</v>
      </c>
      <c r="B24">
        <v>390</v>
      </c>
    </row>
    <row r="25" spans="1:14" x14ac:dyDescent="0.35">
      <c r="A25" s="328" t="s">
        <v>37</v>
      </c>
      <c r="B25" s="11">
        <v>482</v>
      </c>
    </row>
    <row r="26" spans="1:14" x14ac:dyDescent="0.35">
      <c r="A26" s="328" t="s">
        <v>37</v>
      </c>
      <c r="B26" s="11">
        <v>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F25"/>
  <sheetViews>
    <sheetView zoomScaleNormal="100" workbookViewId="0">
      <selection activeCell="AH8" sqref="AH8"/>
    </sheetView>
  </sheetViews>
  <sheetFormatPr baseColWidth="10" defaultColWidth="11.453125" defaultRowHeight="14.5" x14ac:dyDescent="0.35"/>
  <cols>
    <col min="1" max="1" width="15.6328125" style="52" customWidth="1"/>
    <col min="2" max="3" width="10.6328125" style="52" customWidth="1"/>
    <col min="4" max="5" width="12.6328125" style="52" customWidth="1"/>
    <col min="6" max="6" width="10.6328125" style="52" customWidth="1"/>
    <col min="7" max="10" width="12.6328125" style="52" customWidth="1"/>
    <col min="11" max="12" width="15.6328125" style="52" customWidth="1"/>
    <col min="13" max="16384" width="11.453125" style="52"/>
  </cols>
  <sheetData>
    <row r="2" spans="1:32" ht="15" thickBot="1" x14ac:dyDescent="0.4"/>
    <row r="3" spans="1:32" ht="15.75" customHeight="1" thickBot="1" x14ac:dyDescent="0.4">
      <c r="A3" s="125" t="str">
        <f>Prescreening!A5:F5</f>
        <v>Suivi Global ALCINA 2 POUMON DRIVER cohorte n°11</v>
      </c>
      <c r="B3" s="130"/>
      <c r="D3" s="464" t="s">
        <v>67</v>
      </c>
      <c r="E3" s="465"/>
    </row>
    <row r="4" spans="1:32" ht="15.5" x14ac:dyDescent="0.35">
      <c r="A4" s="128"/>
      <c r="D4" s="126"/>
      <c r="E4" s="127"/>
    </row>
    <row r="5" spans="1:32" ht="15.5" x14ac:dyDescent="0.35">
      <c r="A5" s="125" t="s">
        <v>70</v>
      </c>
      <c r="D5" s="129"/>
      <c r="E5" s="127"/>
    </row>
    <row r="6" spans="1:32" ht="15" thickBot="1" x14ac:dyDescent="0.4">
      <c r="D6" s="131"/>
      <c r="E6" s="132"/>
    </row>
    <row r="7" spans="1:32" ht="16" thickBot="1" x14ac:dyDescent="0.4">
      <c r="A7" s="125"/>
      <c r="B7" s="130"/>
    </row>
    <row r="8" spans="1:32" ht="15" customHeight="1" x14ac:dyDescent="0.35"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466" t="s">
        <v>85</v>
      </c>
      <c r="V8" s="467"/>
      <c r="W8" s="467"/>
      <c r="X8" s="467"/>
      <c r="Y8" s="467"/>
      <c r="Z8" s="467"/>
      <c r="AA8" s="467"/>
      <c r="AB8" s="467"/>
      <c r="AC8" s="467"/>
      <c r="AD8" s="467"/>
      <c r="AE8" s="467"/>
      <c r="AF8" s="468"/>
    </row>
    <row r="9" spans="1:32" x14ac:dyDescent="0.35"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469"/>
      <c r="V9" s="422"/>
      <c r="W9" s="422"/>
      <c r="X9" s="422"/>
      <c r="Y9" s="422"/>
      <c r="Z9" s="422"/>
      <c r="AA9" s="422"/>
      <c r="AB9" s="422"/>
      <c r="AC9" s="422"/>
      <c r="AD9" s="422"/>
      <c r="AE9" s="422"/>
      <c r="AF9" s="470"/>
    </row>
    <row r="10" spans="1:32" x14ac:dyDescent="0.35">
      <c r="A10" s="133"/>
      <c r="B10" s="133"/>
      <c r="C10" s="134"/>
      <c r="D10" s="53"/>
      <c r="E10" s="135"/>
      <c r="F10" s="136"/>
      <c r="G10" s="136"/>
      <c r="H10" s="136"/>
      <c r="I10" s="136"/>
      <c r="J10" s="136"/>
      <c r="P10" s="121"/>
      <c r="Q10" s="53"/>
      <c r="U10" s="469"/>
      <c r="V10" s="422"/>
      <c r="W10" s="422"/>
      <c r="X10" s="422"/>
      <c r="Y10" s="422"/>
      <c r="Z10" s="422"/>
      <c r="AA10" s="422"/>
      <c r="AB10" s="422"/>
      <c r="AC10" s="422"/>
      <c r="AD10" s="422"/>
      <c r="AE10" s="422"/>
      <c r="AF10" s="470"/>
    </row>
    <row r="11" spans="1:32" ht="15" thickBot="1" x14ac:dyDescent="0.4">
      <c r="U11" s="469"/>
      <c r="V11" s="422"/>
      <c r="W11" s="422"/>
      <c r="X11" s="422"/>
      <c r="Y11" s="422"/>
      <c r="Z11" s="422"/>
      <c r="AA11" s="422"/>
      <c r="AB11" s="422"/>
      <c r="AC11" s="422"/>
      <c r="AD11" s="422"/>
      <c r="AE11" s="422"/>
      <c r="AF11" s="470"/>
    </row>
    <row r="12" spans="1:32" ht="69" customHeight="1" thickBot="1" x14ac:dyDescent="0.4">
      <c r="A12" s="113" t="s">
        <v>0</v>
      </c>
      <c r="B12" s="114" t="s">
        <v>1</v>
      </c>
      <c r="C12" s="114" t="s">
        <v>38</v>
      </c>
      <c r="D12" s="116" t="s">
        <v>39</v>
      </c>
      <c r="E12" s="119" t="s">
        <v>74</v>
      </c>
      <c r="F12" s="120" t="s">
        <v>40</v>
      </c>
      <c r="G12" s="123" t="s">
        <v>75</v>
      </c>
      <c r="H12" s="66" t="s">
        <v>82</v>
      </c>
      <c r="I12" s="66" t="s">
        <v>80</v>
      </c>
      <c r="J12" s="66" t="s">
        <v>46</v>
      </c>
      <c r="K12" s="137"/>
      <c r="L12" s="474" t="s">
        <v>78</v>
      </c>
      <c r="M12" s="475"/>
      <c r="N12" s="474" t="s">
        <v>78</v>
      </c>
      <c r="O12" s="475"/>
      <c r="P12" s="474" t="s">
        <v>78</v>
      </c>
      <c r="Q12" s="475"/>
      <c r="R12" s="474" t="s">
        <v>78</v>
      </c>
      <c r="S12" s="475"/>
      <c r="U12" s="469"/>
      <c r="V12" s="422"/>
      <c r="W12" s="422"/>
      <c r="X12" s="422"/>
      <c r="Y12" s="422"/>
      <c r="Z12" s="422"/>
      <c r="AA12" s="422"/>
      <c r="AB12" s="422"/>
      <c r="AC12" s="422"/>
      <c r="AD12" s="422"/>
      <c r="AE12" s="422"/>
      <c r="AF12" s="470"/>
    </row>
    <row r="13" spans="1:32" ht="20" customHeight="1" x14ac:dyDescent="0.35">
      <c r="A13" s="490"/>
      <c r="B13" s="493"/>
      <c r="C13" s="496"/>
      <c r="D13" s="476"/>
      <c r="E13" s="487"/>
      <c r="F13" s="476"/>
      <c r="G13" s="479"/>
      <c r="H13" s="504"/>
      <c r="I13" s="501" t="s">
        <v>81</v>
      </c>
      <c r="J13" s="496"/>
      <c r="K13" s="122" t="s">
        <v>42</v>
      </c>
      <c r="L13" s="482"/>
      <c r="M13" s="483"/>
      <c r="N13" s="484"/>
      <c r="O13" s="483"/>
      <c r="P13" s="484"/>
      <c r="Q13" s="483"/>
      <c r="R13" s="484"/>
      <c r="S13" s="483"/>
      <c r="U13" s="469"/>
      <c r="V13" s="422"/>
      <c r="W13" s="422"/>
      <c r="X13" s="422"/>
      <c r="Y13" s="422"/>
      <c r="Z13" s="422"/>
      <c r="AA13" s="422"/>
      <c r="AB13" s="422"/>
      <c r="AC13" s="422"/>
      <c r="AD13" s="422"/>
      <c r="AE13" s="422"/>
      <c r="AF13" s="470"/>
    </row>
    <row r="14" spans="1:32" ht="15" customHeight="1" x14ac:dyDescent="0.35">
      <c r="A14" s="491"/>
      <c r="B14" s="494"/>
      <c r="C14" s="497"/>
      <c r="D14" s="477"/>
      <c r="E14" s="488"/>
      <c r="F14" s="477"/>
      <c r="G14" s="480"/>
      <c r="H14" s="505"/>
      <c r="I14" s="502"/>
      <c r="J14" s="497"/>
      <c r="K14" s="56" t="s">
        <v>43</v>
      </c>
      <c r="L14" s="485">
        <v>44077</v>
      </c>
      <c r="M14" s="486"/>
      <c r="N14" s="499"/>
      <c r="O14" s="500"/>
      <c r="P14" s="499"/>
      <c r="Q14" s="500"/>
      <c r="R14" s="499"/>
      <c r="S14" s="500"/>
      <c r="U14" s="469"/>
      <c r="V14" s="422"/>
      <c r="W14" s="422"/>
      <c r="X14" s="422"/>
      <c r="Y14" s="422"/>
      <c r="Z14" s="422"/>
      <c r="AA14" s="422"/>
      <c r="AB14" s="422"/>
      <c r="AC14" s="422"/>
      <c r="AD14" s="422"/>
      <c r="AE14" s="422"/>
      <c r="AF14" s="470"/>
    </row>
    <row r="15" spans="1:32" ht="15" customHeight="1" thickBot="1" x14ac:dyDescent="0.4">
      <c r="A15" s="492"/>
      <c r="B15" s="495"/>
      <c r="C15" s="498"/>
      <c r="D15" s="478"/>
      <c r="E15" s="489"/>
      <c r="F15" s="478"/>
      <c r="G15" s="481"/>
      <c r="H15" s="506"/>
      <c r="I15" s="503"/>
      <c r="J15" s="498"/>
      <c r="K15" s="57" t="s">
        <v>45</v>
      </c>
      <c r="L15" s="112">
        <f>L14-2</f>
        <v>44075</v>
      </c>
      <c r="M15" s="112">
        <f>L14+2</f>
        <v>44079</v>
      </c>
      <c r="N15" s="55"/>
      <c r="O15" s="55"/>
      <c r="P15" s="55"/>
      <c r="Q15" s="55"/>
      <c r="R15" s="55"/>
      <c r="S15" s="55"/>
      <c r="U15" s="469"/>
      <c r="V15" s="422"/>
      <c r="W15" s="422"/>
      <c r="X15" s="422"/>
      <c r="Y15" s="422"/>
      <c r="Z15" s="422"/>
      <c r="AA15" s="422"/>
      <c r="AB15" s="422"/>
      <c r="AC15" s="422"/>
      <c r="AD15" s="422"/>
      <c r="AE15" s="422"/>
      <c r="AF15" s="470"/>
    </row>
    <row r="16" spans="1:32" ht="20" customHeight="1" x14ac:dyDescent="0.35">
      <c r="A16" s="490"/>
      <c r="B16" s="493"/>
      <c r="C16" s="496"/>
      <c r="D16" s="476"/>
      <c r="E16" s="487"/>
      <c r="F16" s="487"/>
      <c r="G16" s="479"/>
      <c r="H16" s="504"/>
      <c r="I16" s="504"/>
      <c r="J16" s="496"/>
      <c r="K16" s="122" t="s">
        <v>42</v>
      </c>
      <c r="L16" s="482"/>
      <c r="M16" s="483"/>
      <c r="N16" s="482"/>
      <c r="O16" s="483"/>
      <c r="P16" s="484"/>
      <c r="Q16" s="483"/>
      <c r="R16" s="484"/>
      <c r="S16" s="483"/>
      <c r="U16" s="469"/>
      <c r="V16" s="422"/>
      <c r="W16" s="422"/>
      <c r="X16" s="422"/>
      <c r="Y16" s="422"/>
      <c r="Z16" s="422"/>
      <c r="AA16" s="422"/>
      <c r="AB16" s="422"/>
      <c r="AC16" s="422"/>
      <c r="AD16" s="422"/>
      <c r="AE16" s="422"/>
      <c r="AF16" s="470"/>
    </row>
    <row r="17" spans="1:32" ht="15" customHeight="1" x14ac:dyDescent="0.35">
      <c r="A17" s="491"/>
      <c r="B17" s="494"/>
      <c r="C17" s="497"/>
      <c r="D17" s="477"/>
      <c r="E17" s="488"/>
      <c r="F17" s="488"/>
      <c r="G17" s="480"/>
      <c r="H17" s="505"/>
      <c r="I17" s="505"/>
      <c r="J17" s="497"/>
      <c r="K17" s="56" t="s">
        <v>43</v>
      </c>
      <c r="L17" s="485">
        <v>44077</v>
      </c>
      <c r="M17" s="486"/>
      <c r="N17" s="499"/>
      <c r="O17" s="500"/>
      <c r="P17" s="499"/>
      <c r="Q17" s="500"/>
      <c r="R17" s="499"/>
      <c r="S17" s="500"/>
      <c r="U17" s="469"/>
      <c r="V17" s="422"/>
      <c r="W17" s="422"/>
      <c r="X17" s="422"/>
      <c r="Y17" s="422"/>
      <c r="Z17" s="422"/>
      <c r="AA17" s="422"/>
      <c r="AB17" s="422"/>
      <c r="AC17" s="422"/>
      <c r="AD17" s="422"/>
      <c r="AE17" s="422"/>
      <c r="AF17" s="470"/>
    </row>
    <row r="18" spans="1:32" ht="15" customHeight="1" thickBot="1" x14ac:dyDescent="0.4">
      <c r="A18" s="492"/>
      <c r="B18" s="495"/>
      <c r="C18" s="498"/>
      <c r="D18" s="478"/>
      <c r="E18" s="489"/>
      <c r="F18" s="489"/>
      <c r="G18" s="481"/>
      <c r="H18" s="506"/>
      <c r="I18" s="506"/>
      <c r="J18" s="498"/>
      <c r="K18" s="57" t="s">
        <v>45</v>
      </c>
      <c r="L18" s="112">
        <f>L17-2</f>
        <v>44075</v>
      </c>
      <c r="M18" s="112">
        <f>L17+2</f>
        <v>44079</v>
      </c>
      <c r="N18" s="55"/>
      <c r="O18" s="55"/>
      <c r="P18" s="55"/>
      <c r="Q18" s="55"/>
      <c r="R18" s="55"/>
      <c r="S18" s="55"/>
      <c r="U18" s="469"/>
      <c r="V18" s="422"/>
      <c r="W18" s="422"/>
      <c r="X18" s="422"/>
      <c r="Y18" s="422"/>
      <c r="Z18" s="422"/>
      <c r="AA18" s="422"/>
      <c r="AB18" s="422"/>
      <c r="AC18" s="422"/>
      <c r="AD18" s="422"/>
      <c r="AE18" s="422"/>
      <c r="AF18" s="470"/>
    </row>
    <row r="19" spans="1:32" x14ac:dyDescent="0.35">
      <c r="U19" s="469"/>
      <c r="V19" s="422"/>
      <c r="W19" s="422"/>
      <c r="X19" s="422"/>
      <c r="Y19" s="422"/>
      <c r="Z19" s="422"/>
      <c r="AA19" s="422"/>
      <c r="AB19" s="422"/>
      <c r="AC19" s="422"/>
      <c r="AD19" s="422"/>
      <c r="AE19" s="422"/>
      <c r="AF19" s="470"/>
    </row>
    <row r="20" spans="1:32" x14ac:dyDescent="0.35">
      <c r="L20" s="507" t="s">
        <v>68</v>
      </c>
      <c r="M20" s="507"/>
      <c r="N20" s="507" t="s">
        <v>44</v>
      </c>
      <c r="O20" s="507"/>
      <c r="U20" s="469"/>
      <c r="V20" s="422"/>
      <c r="W20" s="422"/>
      <c r="X20" s="422"/>
      <c r="Y20" s="422"/>
      <c r="Z20" s="422"/>
      <c r="AA20" s="422"/>
      <c r="AB20" s="422"/>
      <c r="AC20" s="422"/>
      <c r="AD20" s="422"/>
      <c r="AE20" s="422"/>
      <c r="AF20" s="470"/>
    </row>
    <row r="21" spans="1:32" x14ac:dyDescent="0.35">
      <c r="U21" s="469"/>
      <c r="V21" s="422"/>
      <c r="W21" s="422"/>
      <c r="X21" s="422"/>
      <c r="Y21" s="422"/>
      <c r="Z21" s="422"/>
      <c r="AA21" s="422"/>
      <c r="AB21" s="422"/>
      <c r="AC21" s="422"/>
      <c r="AD21" s="422"/>
      <c r="AE21" s="422"/>
      <c r="AF21" s="470"/>
    </row>
    <row r="22" spans="1:32" x14ac:dyDescent="0.35">
      <c r="U22" s="469"/>
      <c r="V22" s="422"/>
      <c r="W22" s="422"/>
      <c r="X22" s="422"/>
      <c r="Y22" s="422"/>
      <c r="Z22" s="422"/>
      <c r="AA22" s="422"/>
      <c r="AB22" s="422"/>
      <c r="AC22" s="422"/>
      <c r="AD22" s="422"/>
      <c r="AE22" s="422"/>
      <c r="AF22" s="470"/>
    </row>
    <row r="23" spans="1:32" x14ac:dyDescent="0.35">
      <c r="U23" s="469"/>
      <c r="V23" s="422"/>
      <c r="W23" s="422"/>
      <c r="X23" s="422"/>
      <c r="Y23" s="422"/>
      <c r="Z23" s="422"/>
      <c r="AA23" s="422"/>
      <c r="AB23" s="422"/>
      <c r="AC23" s="422"/>
      <c r="AD23" s="422"/>
      <c r="AE23" s="422"/>
      <c r="AF23" s="470"/>
    </row>
    <row r="24" spans="1:32" x14ac:dyDescent="0.35">
      <c r="U24" s="469"/>
      <c r="V24" s="422"/>
      <c r="W24" s="422"/>
      <c r="X24" s="422"/>
      <c r="Y24" s="422"/>
      <c r="Z24" s="422"/>
      <c r="AA24" s="422"/>
      <c r="AB24" s="422"/>
      <c r="AC24" s="422"/>
      <c r="AD24" s="422"/>
      <c r="AE24" s="422"/>
      <c r="AF24" s="470"/>
    </row>
    <row r="25" spans="1:32" ht="15" thickBot="1" x14ac:dyDescent="0.4">
      <c r="U25" s="471"/>
      <c r="V25" s="472"/>
      <c r="W25" s="472"/>
      <c r="X25" s="472"/>
      <c r="Y25" s="472"/>
      <c r="Z25" s="472"/>
      <c r="AA25" s="472"/>
      <c r="AB25" s="472"/>
      <c r="AC25" s="472"/>
      <c r="AD25" s="472"/>
      <c r="AE25" s="472"/>
      <c r="AF25" s="473"/>
    </row>
  </sheetData>
  <mergeCells count="44">
    <mergeCell ref="N20:O20"/>
    <mergeCell ref="L20:M20"/>
    <mergeCell ref="H13:H15"/>
    <mergeCell ref="H16:H18"/>
    <mergeCell ref="P17:Q17"/>
    <mergeCell ref="R17:S17"/>
    <mergeCell ref="J16:J18"/>
    <mergeCell ref="I13:I15"/>
    <mergeCell ref="I16:I18"/>
    <mergeCell ref="N14:O14"/>
    <mergeCell ref="P14:Q14"/>
    <mergeCell ref="R14:S14"/>
    <mergeCell ref="R16:S16"/>
    <mergeCell ref="J13:J15"/>
    <mergeCell ref="N16:O16"/>
    <mergeCell ref="P16:Q16"/>
    <mergeCell ref="L17:M17"/>
    <mergeCell ref="N17:O17"/>
    <mergeCell ref="A16:A18"/>
    <mergeCell ref="B16:B18"/>
    <mergeCell ref="C16:C18"/>
    <mergeCell ref="D16:D18"/>
    <mergeCell ref="E16:E18"/>
    <mergeCell ref="A13:A15"/>
    <mergeCell ref="B13:B15"/>
    <mergeCell ref="C13:C15"/>
    <mergeCell ref="D13:D15"/>
    <mergeCell ref="E13:E15"/>
    <mergeCell ref="D3:E3"/>
    <mergeCell ref="U8:AF25"/>
    <mergeCell ref="L12:M12"/>
    <mergeCell ref="N12:O12"/>
    <mergeCell ref="P12:Q12"/>
    <mergeCell ref="R12:S12"/>
    <mergeCell ref="F13:F15"/>
    <mergeCell ref="G13:G15"/>
    <mergeCell ref="L13:M13"/>
    <mergeCell ref="N13:O13"/>
    <mergeCell ref="P13:Q13"/>
    <mergeCell ref="R13:S13"/>
    <mergeCell ref="L14:M14"/>
    <mergeCell ref="F16:F18"/>
    <mergeCell ref="G16:G18"/>
    <mergeCell ref="L16:M16"/>
  </mergeCells>
  <pageMargins left="0.7" right="0.7" top="0.75" bottom="0.75" header="0.3" footer="0.3"/>
  <pageSetup paperSize="9" scale="34" orientation="landscape" r:id="rId1"/>
  <headerFooter>
    <oddHeader xml:space="preserve">&amp;L&amp;G&amp;C&amp;"-,Gras"&amp;14&amp;K00-032Centre de Recherche Clinique
&amp;KE4008CSUIVI GLOBAL d'un Essai Clinique&amp;R&amp;9Réf : ICM-ENR-452 
Version : 002 
Date d’application : Sept 2020
Page : &amp;P/&amp;N
</oddHeader>
    <oddFooter>&amp;C&amp;"-,Italique"&amp;9Assurez-vous que ce document imprimé correspond bien à la dernière version en vigueur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16"/>
  <sheetViews>
    <sheetView zoomScaleNormal="100" workbookViewId="0">
      <selection activeCell="D9" sqref="D9"/>
    </sheetView>
  </sheetViews>
  <sheetFormatPr baseColWidth="10" defaultColWidth="11.453125" defaultRowHeight="14.5" x14ac:dyDescent="0.35"/>
  <cols>
    <col min="1" max="1" width="15.6328125" style="52" customWidth="1"/>
    <col min="2" max="2" width="10.6328125" style="52" customWidth="1"/>
    <col min="3" max="3" width="12.6328125" style="52" customWidth="1"/>
    <col min="4" max="8" width="15.6328125" style="52" customWidth="1"/>
    <col min="9" max="11" width="20.6328125" style="52" customWidth="1"/>
    <col min="12" max="12" width="20.1796875" style="52" customWidth="1"/>
    <col min="13" max="13" width="15.6328125" style="52" customWidth="1"/>
    <col min="14" max="16384" width="11.453125" style="52"/>
  </cols>
  <sheetData>
    <row r="2" spans="1:14" ht="16" thickBot="1" x14ac:dyDescent="0.4">
      <c r="B2" s="125"/>
    </row>
    <row r="3" spans="1:14" ht="53.25" customHeight="1" thickBot="1" x14ac:dyDescent="0.4">
      <c r="A3" s="125" t="str">
        <f>Prescreening!A5:F5</f>
        <v>Suivi Global ALCINA 2 POUMON DRIVER cohorte n°11</v>
      </c>
      <c r="B3" s="125"/>
      <c r="F3" s="464" t="s">
        <v>67</v>
      </c>
      <c r="G3" s="465"/>
      <c r="I3" s="508" t="s">
        <v>79</v>
      </c>
      <c r="J3" s="509"/>
      <c r="K3" s="509"/>
      <c r="L3" s="510"/>
    </row>
    <row r="4" spans="1:14" ht="15.5" x14ac:dyDescent="0.35">
      <c r="A4" s="128"/>
      <c r="B4" s="125"/>
      <c r="F4" s="126"/>
      <c r="G4" s="163"/>
    </row>
    <row r="5" spans="1:14" ht="15.5" x14ac:dyDescent="0.35">
      <c r="A5" s="125" t="s">
        <v>3</v>
      </c>
      <c r="F5" s="129"/>
      <c r="G5" s="127"/>
    </row>
    <row r="6" spans="1:14" ht="16" thickBot="1" x14ac:dyDescent="0.4">
      <c r="A6" s="125"/>
      <c r="F6" s="131"/>
      <c r="G6" s="132"/>
    </row>
    <row r="7" spans="1:14" ht="15.75" customHeight="1" x14ac:dyDescent="0.35"/>
    <row r="8" spans="1:14" ht="15" thickBot="1" x14ac:dyDescent="0.4">
      <c r="A8" s="31"/>
      <c r="B8" s="31"/>
      <c r="C8" s="31"/>
      <c r="D8" s="31"/>
      <c r="E8" s="138"/>
      <c r="F8" s="138"/>
      <c r="G8" s="139"/>
      <c r="H8" s="138"/>
      <c r="I8" s="111"/>
      <c r="J8" s="111"/>
      <c r="K8" s="111"/>
      <c r="L8" s="111"/>
    </row>
    <row r="9" spans="1:14" ht="54" customHeight="1" thickBot="1" x14ac:dyDescent="0.4">
      <c r="A9" s="113" t="s">
        <v>0</v>
      </c>
      <c r="B9" s="114" t="s">
        <v>1</v>
      </c>
      <c r="C9" s="114" t="s">
        <v>38</v>
      </c>
      <c r="D9" s="49" t="s">
        <v>61</v>
      </c>
      <c r="E9" s="48" t="s">
        <v>51</v>
      </c>
      <c r="F9" s="48" t="s">
        <v>4</v>
      </c>
      <c r="G9" s="48" t="s">
        <v>57</v>
      </c>
      <c r="H9" s="48" t="s">
        <v>6</v>
      </c>
      <c r="I9" s="48" t="s">
        <v>2</v>
      </c>
      <c r="J9" s="48" t="s">
        <v>48</v>
      </c>
      <c r="K9" s="48" t="s">
        <v>47</v>
      </c>
      <c r="L9" s="48" t="s">
        <v>49</v>
      </c>
      <c r="M9" s="48" t="s">
        <v>50</v>
      </c>
      <c r="N9" s="48" t="s">
        <v>5</v>
      </c>
    </row>
    <row r="10" spans="1:14" x14ac:dyDescent="0.35">
      <c r="A10" s="140"/>
      <c r="B10" s="140"/>
      <c r="C10" s="140"/>
      <c r="D10" s="140"/>
      <c r="E10" s="140"/>
      <c r="F10" s="141"/>
      <c r="G10" s="140"/>
      <c r="H10" s="59"/>
      <c r="I10" s="59"/>
      <c r="J10" s="60">
        <f>I10-H10</f>
        <v>0</v>
      </c>
      <c r="K10" s="140"/>
      <c r="L10" s="140"/>
      <c r="M10" s="140"/>
      <c r="N10" s="140"/>
    </row>
    <row r="11" spans="1:14" x14ac:dyDescent="0.35">
      <c r="A11" s="65"/>
      <c r="B11" s="65"/>
      <c r="C11" s="65"/>
      <c r="D11" s="65"/>
      <c r="E11" s="65"/>
      <c r="F11" s="65"/>
      <c r="G11" s="65"/>
      <c r="H11" s="65"/>
      <c r="I11" s="65"/>
      <c r="J11" s="60">
        <f>I11-H11</f>
        <v>0</v>
      </c>
      <c r="K11" s="65"/>
      <c r="L11" s="65"/>
      <c r="M11" s="65"/>
      <c r="N11" s="65"/>
    </row>
    <row r="12" spans="1:14" x14ac:dyDescent="0.35">
      <c r="A12" s="65"/>
      <c r="B12" s="65"/>
      <c r="C12" s="65"/>
      <c r="D12" s="65"/>
      <c r="E12" s="65"/>
      <c r="F12" s="65"/>
      <c r="G12" s="65"/>
      <c r="H12" s="65"/>
      <c r="I12" s="65"/>
      <c r="J12" s="60">
        <f>I12-H12</f>
        <v>0</v>
      </c>
      <c r="K12" s="65"/>
      <c r="L12" s="65"/>
      <c r="M12" s="65"/>
      <c r="N12" s="65"/>
    </row>
    <row r="13" spans="1:14" x14ac:dyDescent="0.35">
      <c r="A13" s="65"/>
      <c r="B13" s="65"/>
      <c r="C13" s="65"/>
      <c r="D13" s="65"/>
      <c r="E13" s="65"/>
      <c r="F13" s="65"/>
      <c r="G13" s="65"/>
      <c r="H13" s="65"/>
      <c r="I13" s="65"/>
      <c r="J13" s="60">
        <f>I13-H13</f>
        <v>0</v>
      </c>
      <c r="K13" s="65"/>
      <c r="L13" s="65"/>
      <c r="M13" s="65"/>
      <c r="N13" s="65"/>
    </row>
    <row r="14" spans="1:14" x14ac:dyDescent="0.35">
      <c r="A14" s="65"/>
      <c r="B14" s="65"/>
      <c r="C14" s="65"/>
      <c r="D14" s="65"/>
      <c r="E14" s="65"/>
      <c r="F14" s="65"/>
      <c r="G14" s="65"/>
      <c r="H14" s="65"/>
      <c r="I14" s="65"/>
      <c r="J14" s="60">
        <f>I14-H14</f>
        <v>0</v>
      </c>
      <c r="K14" s="65"/>
      <c r="L14" s="65"/>
      <c r="M14" s="65"/>
      <c r="N14" s="65"/>
    </row>
    <row r="16" spans="1:14" x14ac:dyDescent="0.35">
      <c r="J16" s="58"/>
    </row>
  </sheetData>
  <mergeCells count="2">
    <mergeCell ref="I3:L3"/>
    <mergeCell ref="F3:G3"/>
  </mergeCells>
  <pageMargins left="0.7" right="0.7" top="0.75" bottom="0.75" header="0.3" footer="0.3"/>
  <pageSetup paperSize="9" scale="57" orientation="landscape" r:id="rId1"/>
  <headerFooter>
    <oddHeader xml:space="preserve">&amp;L&amp;G&amp;C&amp;"-,Gras"&amp;14&amp;K00-033Centre de Recherche Clinique&amp;KE4008C
SUIVI GLOBAL d'un Essai Clinique&amp;R&amp;9Réf : ICM-ENR-452 
Version : 002 
Date d’application : Sept 2020
Page : &amp;P/&amp;N
</oddHeader>
    <oddFooter>&amp;C&amp;"-,Italique"&amp;9Assurez-vous que ce document imprimé correspond bien à la dernière version en vigueur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38"/>
  <sheetViews>
    <sheetView zoomScaleNormal="100" workbookViewId="0">
      <selection activeCell="J32" sqref="J32"/>
    </sheetView>
  </sheetViews>
  <sheetFormatPr baseColWidth="10" defaultColWidth="11.453125" defaultRowHeight="14.5" x14ac:dyDescent="0.35"/>
  <cols>
    <col min="1" max="1" width="15.6328125" style="52" customWidth="1"/>
    <col min="2" max="2" width="21.453125" style="52" customWidth="1"/>
    <col min="3" max="3" width="10.6328125" style="52" customWidth="1"/>
    <col min="4" max="6" width="12.6328125" style="52" customWidth="1"/>
    <col min="7" max="7" width="9.81640625" style="52" bestFit="1" customWidth="1"/>
    <col min="8" max="8" width="7.81640625" style="52" customWidth="1"/>
    <col min="9" max="10" width="20.6328125" style="52" customWidth="1"/>
    <col min="11" max="16384" width="11.453125" style="52"/>
  </cols>
  <sheetData>
    <row r="2" spans="1:10" ht="15.75" customHeight="1" x14ac:dyDescent="0.35"/>
    <row r="3" spans="1:10" ht="15.5" x14ac:dyDescent="0.35">
      <c r="A3" s="125" t="str">
        <f>Prescreening!A5:F5</f>
        <v>Suivi Global ALCINA 2 POUMON DRIVER cohorte n°11</v>
      </c>
    </row>
    <row r="4" spans="1:10" ht="16" thickBot="1" x14ac:dyDescent="0.4">
      <c r="A4" s="128"/>
    </row>
    <row r="5" spans="1:10" ht="15.75" customHeight="1" x14ac:dyDescent="0.35">
      <c r="B5" s="130"/>
      <c r="D5" s="512" t="s">
        <v>83</v>
      </c>
      <c r="E5" s="513"/>
      <c r="F5" s="513"/>
      <c r="G5" s="164" t="s">
        <v>130</v>
      </c>
    </row>
    <row r="6" spans="1:10" ht="16" thickBot="1" x14ac:dyDescent="0.4">
      <c r="A6" s="125"/>
      <c r="D6" s="514" t="s">
        <v>84</v>
      </c>
      <c r="E6" s="515"/>
      <c r="F6" s="515"/>
      <c r="G6" s="165" t="s">
        <v>130</v>
      </c>
    </row>
    <row r="7" spans="1:10" ht="15.75" customHeight="1" x14ac:dyDescent="0.35">
      <c r="A7" s="128"/>
      <c r="C7" s="68"/>
      <c r="E7" s="68"/>
      <c r="F7" s="68"/>
      <c r="G7" s="68"/>
      <c r="H7" s="68"/>
    </row>
    <row r="8" spans="1:10" ht="15.5" x14ac:dyDescent="0.35">
      <c r="A8" s="125" t="s">
        <v>71</v>
      </c>
      <c r="B8" s="130"/>
    </row>
    <row r="9" spans="1:10" ht="15.5" x14ac:dyDescent="0.35">
      <c r="A9" s="125"/>
      <c r="B9" s="130"/>
    </row>
    <row r="10" spans="1:10" ht="16" thickBot="1" x14ac:dyDescent="0.4">
      <c r="A10" s="125"/>
      <c r="B10" s="130"/>
    </row>
    <row r="11" spans="1:10" ht="15" thickBot="1" x14ac:dyDescent="0.4">
      <c r="C11" s="516" t="s">
        <v>56</v>
      </c>
      <c r="D11" s="517"/>
    </row>
    <row r="12" spans="1:10" ht="55.5" customHeight="1" thickBot="1" x14ac:dyDescent="0.4">
      <c r="A12" s="61" t="s">
        <v>52</v>
      </c>
      <c r="B12" s="47" t="s">
        <v>53</v>
      </c>
      <c r="C12" s="47" t="s">
        <v>54</v>
      </c>
      <c r="D12" s="50" t="s">
        <v>55</v>
      </c>
    </row>
    <row r="13" spans="1:10" ht="15" customHeight="1" x14ac:dyDescent="0.35">
      <c r="A13" s="149"/>
      <c r="B13" s="150"/>
      <c r="C13" s="151"/>
      <c r="D13" s="152"/>
      <c r="F13" s="466" t="s">
        <v>92</v>
      </c>
      <c r="G13" s="467"/>
      <c r="H13" s="467"/>
      <c r="I13" s="467"/>
      <c r="J13" s="468"/>
    </row>
    <row r="14" spans="1:10" x14ac:dyDescent="0.35">
      <c r="A14" s="153"/>
      <c r="B14" s="154"/>
      <c r="C14" s="155"/>
      <c r="D14" s="156"/>
      <c r="F14" s="469"/>
      <c r="G14" s="422"/>
      <c r="H14" s="422"/>
      <c r="I14" s="422"/>
      <c r="J14" s="470"/>
    </row>
    <row r="15" spans="1:10" x14ac:dyDescent="0.35">
      <c r="A15" s="153"/>
      <c r="B15" s="154"/>
      <c r="C15" s="155"/>
      <c r="D15" s="156"/>
      <c r="F15" s="469"/>
      <c r="G15" s="422"/>
      <c r="H15" s="422"/>
      <c r="I15" s="422"/>
      <c r="J15" s="470"/>
    </row>
    <row r="16" spans="1:10" x14ac:dyDescent="0.35">
      <c r="A16" s="153"/>
      <c r="B16" s="154"/>
      <c r="C16" s="155"/>
      <c r="D16" s="156"/>
      <c r="F16" s="469"/>
      <c r="G16" s="422"/>
      <c r="H16" s="422"/>
      <c r="I16" s="422"/>
      <c r="J16" s="470"/>
    </row>
    <row r="17" spans="1:10" ht="15" thickBot="1" x14ac:dyDescent="0.4">
      <c r="A17" s="153"/>
      <c r="B17" s="154"/>
      <c r="C17" s="155"/>
      <c r="D17" s="156"/>
      <c r="F17" s="471"/>
      <c r="G17" s="472"/>
      <c r="H17" s="472"/>
      <c r="I17" s="472"/>
      <c r="J17" s="473"/>
    </row>
    <row r="18" spans="1:10" x14ac:dyDescent="0.35">
      <c r="A18" s="153"/>
      <c r="B18" s="154"/>
      <c r="C18" s="155"/>
      <c r="D18" s="156"/>
    </row>
    <row r="19" spans="1:10" x14ac:dyDescent="0.35">
      <c r="A19" s="153"/>
      <c r="B19" s="154"/>
      <c r="C19" s="155"/>
      <c r="D19" s="156"/>
    </row>
    <row r="20" spans="1:10" x14ac:dyDescent="0.35">
      <c r="A20" s="153"/>
      <c r="B20" s="154"/>
      <c r="C20" s="155"/>
      <c r="D20" s="156"/>
    </row>
    <row r="21" spans="1:10" ht="15" thickBot="1" x14ac:dyDescent="0.4">
      <c r="A21" s="157"/>
      <c r="B21" s="158"/>
      <c r="C21" s="159"/>
      <c r="D21" s="160"/>
    </row>
    <row r="22" spans="1:10" x14ac:dyDescent="0.35">
      <c r="A22" s="58"/>
      <c r="B22" s="58"/>
      <c r="C22" s="161"/>
      <c r="D22" s="162"/>
    </row>
    <row r="23" spans="1:10" ht="15.5" x14ac:dyDescent="0.35">
      <c r="A23" s="27"/>
      <c r="B23" s="27"/>
      <c r="C23" s="142"/>
      <c r="D23" s="142"/>
      <c r="E23" s="142"/>
      <c r="F23" s="142"/>
      <c r="G23" s="139"/>
      <c r="H23" s="51"/>
      <c r="I23" s="143"/>
    </row>
    <row r="24" spans="1:10" ht="15.5" x14ac:dyDescent="0.35">
      <c r="A24" s="27"/>
    </row>
    <row r="25" spans="1:10" ht="15.5" x14ac:dyDescent="0.35">
      <c r="A25" s="511"/>
      <c r="B25" s="28"/>
      <c r="C25" s="28"/>
      <c r="D25" s="28"/>
      <c r="E25" s="28"/>
      <c r="F25" s="28"/>
      <c r="G25" s="28"/>
      <c r="H25" s="28"/>
      <c r="I25" s="144"/>
    </row>
    <row r="26" spans="1:10" ht="15.75" customHeight="1" x14ac:dyDescent="0.35">
      <c r="A26" s="511"/>
      <c r="B26" s="28"/>
      <c r="C26" s="31"/>
      <c r="D26" s="31"/>
      <c r="E26" s="31"/>
      <c r="F26" s="31"/>
      <c r="G26" s="31"/>
      <c r="H26" s="31"/>
      <c r="I26" s="145"/>
    </row>
    <row r="27" spans="1:10" ht="15.5" x14ac:dyDescent="0.35">
      <c r="A27" s="27"/>
      <c r="B27" s="27"/>
      <c r="C27" s="146"/>
      <c r="D27" s="146"/>
      <c r="E27" s="146"/>
      <c r="F27" s="146"/>
      <c r="G27" s="31"/>
      <c r="H27" s="51"/>
      <c r="I27" s="147"/>
    </row>
    <row r="28" spans="1:10" ht="15.5" x14ac:dyDescent="0.35">
      <c r="A28" s="54"/>
      <c r="B28" s="54"/>
      <c r="C28" s="142"/>
      <c r="E28" s="136"/>
      <c r="F28" s="146"/>
      <c r="G28" s="31"/>
      <c r="H28" s="51"/>
      <c r="I28" s="147"/>
    </row>
    <row r="29" spans="1:10" ht="15.5" x14ac:dyDescent="0.35">
      <c r="A29" s="54"/>
      <c r="B29" s="54"/>
      <c r="C29" s="142"/>
      <c r="E29" s="136"/>
      <c r="F29" s="146"/>
      <c r="G29" s="31"/>
      <c r="H29" s="51"/>
      <c r="I29" s="147"/>
    </row>
    <row r="30" spans="1:10" x14ac:dyDescent="0.35">
      <c r="E30" s="136"/>
    </row>
    <row r="31" spans="1:10" x14ac:dyDescent="0.35">
      <c r="E31" s="136"/>
    </row>
    <row r="32" spans="1:10" x14ac:dyDescent="0.35">
      <c r="E32" s="136"/>
    </row>
    <row r="33" spans="5:5" x14ac:dyDescent="0.35">
      <c r="E33" s="136"/>
    </row>
    <row r="34" spans="5:5" x14ac:dyDescent="0.35">
      <c r="E34" s="124"/>
    </row>
    <row r="35" spans="5:5" x14ac:dyDescent="0.35">
      <c r="E35" s="124"/>
    </row>
    <row r="36" spans="5:5" ht="15.5" x14ac:dyDescent="0.35">
      <c r="E36" s="148"/>
    </row>
    <row r="37" spans="5:5" ht="15.5" x14ac:dyDescent="0.35">
      <c r="E37" s="148"/>
    </row>
    <row r="38" spans="5:5" ht="15.5" x14ac:dyDescent="0.35">
      <c r="E38" s="148"/>
    </row>
  </sheetData>
  <mergeCells count="5">
    <mergeCell ref="A25:A26"/>
    <mergeCell ref="D5:F5"/>
    <mergeCell ref="D6:F6"/>
    <mergeCell ref="C11:D11"/>
    <mergeCell ref="F13:J17"/>
  </mergeCells>
  <pageMargins left="0.7" right="0.7" top="1.0186458333333333" bottom="0.75" header="0.3" footer="0.3"/>
  <pageSetup paperSize="9" scale="90" fitToHeight="0" orientation="landscape" r:id="rId1"/>
  <headerFooter>
    <oddHeader xml:space="preserve">&amp;L&amp;G&amp;C&amp;"-,Gras"&amp;14&amp;K00-032Centre de Recherche Clinique&amp;KE4008C
SUIVI GLOBAL d'un Essai Clinique&amp;R&amp;9Réf : ICM-ENR-452 
Version : 002 
Date d’application : Sept 2020
Page : &amp;P/&amp;N
</oddHeader>
    <oddFooter>&amp;C&amp;"-,Italique"&amp;9Assurez-vous que ce document imprimé correspond bien à la dernière version en vigueur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Fiche identité</vt:lpstr>
      <vt:lpstr>Prescreening</vt:lpstr>
      <vt:lpstr>Alex</vt:lpstr>
      <vt:lpstr>Récap</vt:lpstr>
      <vt:lpstr>cohorte KRAS</vt:lpstr>
      <vt:lpstr>Feuil3</vt:lpstr>
      <vt:lpstr>Feuil1</vt:lpstr>
      <vt:lpstr>mécanismes de résistances</vt:lpstr>
      <vt:lpstr>méca R-2</vt:lpstr>
      <vt:lpstr>stat</vt:lpstr>
      <vt:lpstr>Planning Suivis</vt:lpstr>
      <vt:lpstr>SAE</vt:lpstr>
      <vt:lpstr>Monitoring - NA</vt:lpstr>
    </vt:vector>
  </TitlesOfParts>
  <Company>CRLC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m.beaujouin</dc:creator>
  <cp:lastModifiedBy>Thomas Quentin</cp:lastModifiedBy>
  <cp:lastPrinted>2020-09-15T08:22:43Z</cp:lastPrinted>
  <dcterms:created xsi:type="dcterms:W3CDTF">2013-03-19T10:28:44Z</dcterms:created>
  <dcterms:modified xsi:type="dcterms:W3CDTF">2026-08-24T15:01:04Z</dcterms:modified>
</cp:coreProperties>
</file>